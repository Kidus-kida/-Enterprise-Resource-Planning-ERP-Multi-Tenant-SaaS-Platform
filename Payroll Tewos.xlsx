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 activeTab="1"/>
  </bookViews>
  <sheets>
    <sheet name="Augest 2025" sheetId="5" r:id="rId1"/>
    <sheet name="at bank AUGEST" sheetId="6" r:id="rId2"/>
  </sheets>
  <definedNames>
    <definedName name="_xlnm.Print_Area" localSheetId="1">'at bank AUGEST'!$A$1:$E$56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freweyn</author>
  </authors>
  <commentList>
    <comment ref="E6" authorId="0">
      <text>
        <r>
          <rPr>
            <b/>
            <sz val="9"/>
            <rFont val="Times New Roman"/>
            <charset val="0"/>
          </rPr>
          <t>freweyn:</t>
        </r>
        <r>
          <rPr>
            <sz val="9"/>
            <rFont val="Times New Roman"/>
            <charset val="0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<sst xmlns="http://schemas.openxmlformats.org/spreadsheetml/2006/main" count="203" uniqueCount="132">
  <si>
    <t xml:space="preserve">TEWOS TRADING PLC </t>
  </si>
  <si>
    <t>ISSUE No;1</t>
  </si>
  <si>
    <t>Document Titel:-PAYROLL FOR THE MONTH OF AUGEST 2017 E.C/2025G.C</t>
  </si>
  <si>
    <t>S/N.</t>
  </si>
  <si>
    <t>Name of Employees</t>
  </si>
  <si>
    <t>Job Tittle</t>
  </si>
  <si>
    <t>STARTING DATE</t>
  </si>
  <si>
    <t>Basic Salary</t>
  </si>
  <si>
    <t>Number Of Working Days</t>
  </si>
  <si>
    <t>Per Day</t>
  </si>
  <si>
    <t>Monthly Pay</t>
  </si>
  <si>
    <t>Transport Allowance</t>
  </si>
  <si>
    <t>Taxabel Transport Allowance</t>
  </si>
  <si>
    <t>Over Time Hour</t>
  </si>
  <si>
    <t>perdime non taxabel</t>
  </si>
  <si>
    <t>Over Time Amount</t>
  </si>
  <si>
    <t>house allowance</t>
  </si>
  <si>
    <t>Gross Salary</t>
  </si>
  <si>
    <t>Taxable Income</t>
  </si>
  <si>
    <t>Deductions</t>
  </si>
  <si>
    <t>Employeer pen. contribution11 %</t>
  </si>
  <si>
    <t>Total Deductions</t>
  </si>
  <si>
    <t>Net Pay</t>
  </si>
  <si>
    <t>Regular (1.5)</t>
  </si>
  <si>
    <t>Sunday  (2)</t>
  </si>
  <si>
    <t>Holiday(2.5)</t>
  </si>
  <si>
    <t>IT</t>
  </si>
  <si>
    <t>Loan &amp; Others Deductions</t>
  </si>
  <si>
    <t>Employee pen. contribution7 %</t>
  </si>
  <si>
    <t>Tewodros Atnafu</t>
  </si>
  <si>
    <t>8\11\2022</t>
  </si>
  <si>
    <t>Selam T\haimanote</t>
  </si>
  <si>
    <t>Samrawit Atnafu</t>
  </si>
  <si>
    <t>Amanuel Beyene</t>
  </si>
  <si>
    <t>8\24\2022</t>
  </si>
  <si>
    <t>Melkie Kindie</t>
  </si>
  <si>
    <t>6\10\2022</t>
  </si>
  <si>
    <t>Tekalegne Defar</t>
  </si>
  <si>
    <t>8\10\2023</t>
  </si>
  <si>
    <t>Solomon Kassahun</t>
  </si>
  <si>
    <t>Amanuel Almayehu</t>
  </si>
  <si>
    <t>Derbew Ayelegne</t>
  </si>
  <si>
    <t>2\1\2024</t>
  </si>
  <si>
    <t>Demeke Getachew</t>
  </si>
  <si>
    <t>10\10\2022</t>
  </si>
  <si>
    <t>Sewunet Alemu</t>
  </si>
  <si>
    <t>Yordanos Demirew</t>
  </si>
  <si>
    <t>7\8\2025</t>
  </si>
  <si>
    <t>Awoke Guade</t>
  </si>
  <si>
    <t>Amare Desalew</t>
  </si>
  <si>
    <t>Abeya Taye</t>
  </si>
  <si>
    <t>Ermias Tafesse</t>
  </si>
  <si>
    <t>Wondesen Abera</t>
  </si>
  <si>
    <t>Hailemichael Agaze</t>
  </si>
  <si>
    <t>Seid Mohammed</t>
  </si>
  <si>
    <t xml:space="preserve">Yoseph Tamirat </t>
  </si>
  <si>
    <t>Ermias Zewdu</t>
  </si>
  <si>
    <t>Mekdes G\michael</t>
  </si>
  <si>
    <t>Andualem Yitna</t>
  </si>
  <si>
    <t>Mahlet Meseret</t>
  </si>
  <si>
    <t>Abnet Biru</t>
  </si>
  <si>
    <t>8\7\2025</t>
  </si>
  <si>
    <t>Amanuel Tamru</t>
  </si>
  <si>
    <t>Fekadu Taye</t>
  </si>
  <si>
    <t>Amanuel Birhanu</t>
  </si>
  <si>
    <t>Frewoin Molla</t>
  </si>
  <si>
    <t>11\9\2025</t>
  </si>
  <si>
    <t>Emanuel Alem</t>
  </si>
  <si>
    <t>Mulualem Abayneh</t>
  </si>
  <si>
    <t>Gizaw Alfoaychew</t>
  </si>
  <si>
    <t>Amanuel Kifleyaekob</t>
  </si>
  <si>
    <t xml:space="preserve">Yabsira Shiferaw </t>
  </si>
  <si>
    <t xml:space="preserve">Dawit Semere </t>
  </si>
  <si>
    <t>Matias Tadele</t>
  </si>
  <si>
    <t xml:space="preserve">Eleni berhanu </t>
  </si>
  <si>
    <t>Lidya Berhanu</t>
  </si>
  <si>
    <t>Nardose Zewdu</t>
  </si>
  <si>
    <t xml:space="preserve">Mahlet Tegegn </t>
  </si>
  <si>
    <t>Betelham Getachew</t>
  </si>
  <si>
    <t>05\11\2025</t>
  </si>
  <si>
    <t xml:space="preserve">Total </t>
  </si>
  <si>
    <t>Prepared by ;-……………………………………………</t>
  </si>
  <si>
    <t>Checked By:-----------------------------------------------------</t>
  </si>
  <si>
    <t>Approved By:----------------------------------------------</t>
  </si>
  <si>
    <t>TEWOS TRADING PLC</t>
  </si>
  <si>
    <t>THE MONTH OF AUGEST 2025 G.C</t>
  </si>
  <si>
    <t>NO</t>
  </si>
  <si>
    <t>EMPLOYEE NAME</t>
  </si>
  <si>
    <t>NET PAY</t>
  </si>
  <si>
    <t>ACCOUNT NUMBER</t>
  </si>
  <si>
    <t>0193858126011</t>
  </si>
  <si>
    <t>0105123164011</t>
  </si>
  <si>
    <t>5070789450011</t>
  </si>
  <si>
    <t>5070795922011</t>
  </si>
  <si>
    <t>5070795927011</t>
  </si>
  <si>
    <t>5070795930011</t>
  </si>
  <si>
    <t>5070795926011</t>
  </si>
  <si>
    <t>5070795954011</t>
  </si>
  <si>
    <t>5782444595011</t>
  </si>
  <si>
    <t>5893914931011</t>
  </si>
  <si>
    <t>5099874030011</t>
  </si>
  <si>
    <t>5099871851011</t>
  </si>
  <si>
    <t>5070795931011</t>
  </si>
  <si>
    <t>5488869430011</t>
  </si>
  <si>
    <t>5071694018021</t>
  </si>
  <si>
    <t>5198872342011</t>
  </si>
  <si>
    <t>2922151994011</t>
  </si>
  <si>
    <t>5777731877011</t>
  </si>
  <si>
    <t>2944379252811</t>
  </si>
  <si>
    <t>5014147679011</t>
  </si>
  <si>
    <t>5090872431011</t>
  </si>
  <si>
    <t>5070795976011</t>
  </si>
  <si>
    <t>5090871599011</t>
  </si>
  <si>
    <t>5237369363011</t>
  </si>
  <si>
    <t>5090883582011</t>
  </si>
  <si>
    <t>5183424461011</t>
  </si>
  <si>
    <t>5165432393011</t>
  </si>
  <si>
    <t>5138679187011</t>
  </si>
  <si>
    <t>5070795952011</t>
  </si>
  <si>
    <t>5022880038011</t>
  </si>
  <si>
    <t>5893914918011</t>
  </si>
  <si>
    <t>5177248988011</t>
  </si>
  <si>
    <t>5387112589011</t>
  </si>
  <si>
    <t>5008204917011</t>
  </si>
  <si>
    <t>5070787959011</t>
  </si>
  <si>
    <t>5070796182011</t>
  </si>
  <si>
    <t>5543910302011</t>
  </si>
  <si>
    <t>5543910292011</t>
  </si>
  <si>
    <t>5024894766011</t>
  </si>
  <si>
    <t>5008211559011</t>
  </si>
  <si>
    <t>Betelhem Getachaw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</si>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</sst>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</numFmts>
  <fonts count="41">
    <font>
      <sz val="11"/>
      <color theme="1"/>
      <name val="Calibri"/>
      <charset val="134"/>
      <scheme val="minor"/>
    </font>
    <font>
      <b/>
      <u/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b/>
      <u/>
      <sz val="14"/>
      <name val="Times New Roman"/>
      <charset val="134"/>
    </font>
    <font>
      <b/>
      <u/>
      <sz val="16"/>
      <color theme="1"/>
      <name val="Times New Roman"/>
      <charset val="134"/>
    </font>
    <font>
      <sz val="14"/>
      <color theme="1"/>
      <name val="Calibri"/>
      <charset val="134"/>
      <scheme val="minor"/>
    </font>
    <font>
      <sz val="14"/>
      <color theme="1"/>
      <name val="Times New Roman"/>
      <charset val="134"/>
    </font>
    <font>
      <sz val="14"/>
      <name val="Calibri"/>
      <charset val="134"/>
      <scheme val="minor"/>
    </font>
    <font>
      <b/>
      <sz val="16"/>
      <color theme="1"/>
      <name val="Times New Roman"/>
      <charset val="134"/>
    </font>
    <font>
      <sz val="12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u val="doubleAccounting"/>
      <sz val="14"/>
      <name val="Times New Roman"/>
      <charset val="134"/>
    </font>
    <font>
      <b/>
      <sz val="18"/>
      <color theme="1"/>
      <name val="Calibri"/>
      <charset val="134"/>
      <scheme val="minor"/>
    </font>
    <font>
      <b/>
      <u/>
      <sz val="18"/>
      <color theme="1"/>
      <name val="Calibri"/>
      <charset val="134"/>
      <scheme val="minor"/>
    </font>
    <font>
      <u val="singleAccounting"/>
      <sz val="14"/>
      <name val="Times New Roman"/>
      <charset val="134"/>
    </font>
    <font>
      <b/>
      <u val="singleAccounting"/>
      <sz val="18"/>
      <color theme="1"/>
      <name val="Calibri"/>
      <charset val="134"/>
      <scheme val="minor"/>
    </font>
    <font>
      <sz val="18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5" borderId="18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21" applyNumberFormat="0" applyAlignment="0" applyProtection="0">
      <alignment vertical="center"/>
    </xf>
    <xf numFmtId="0" fontId="28" fillId="7" borderId="22" applyNumberFormat="0" applyAlignment="0" applyProtection="0">
      <alignment vertical="center"/>
    </xf>
    <xf numFmtId="0" fontId="29" fillId="7" borderId="21" applyNumberFormat="0" applyAlignment="0" applyProtection="0">
      <alignment vertical="center"/>
    </xf>
    <xf numFmtId="0" fontId="30" fillId="8" borderId="23" applyNumberFormat="0" applyAlignment="0" applyProtection="0">
      <alignment vertical="center"/>
    </xf>
    <xf numFmtId="0" fontId="31" fillId="0" borderId="24" applyNumberFormat="0" applyFill="0" applyAlignment="0" applyProtection="0">
      <alignment vertical="center"/>
    </xf>
    <xf numFmtId="0" fontId="32" fillId="0" borderId="25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6" fillId="35" borderId="0" applyNumberFormat="0" applyBorder="0" applyAlignment="0" applyProtection="0">
      <alignment vertical="center"/>
    </xf>
    <xf numFmtId="0" fontId="38" fillId="0" borderId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wrapText="1"/>
    </xf>
    <xf numFmtId="43" fontId="4" fillId="3" borderId="1" xfId="1" applyFont="1" applyFill="1" applyBorder="1" applyAlignment="1">
      <alignment horizontal="center"/>
    </xf>
    <xf numFmtId="43" fontId="4" fillId="2" borderId="1" xfId="1" applyFont="1" applyFill="1" applyBorder="1" applyAlignment="1">
      <alignment horizontal="center"/>
    </xf>
    <xf numFmtId="43" fontId="3" fillId="2" borderId="1" xfId="1" applyFont="1" applyFill="1" applyBorder="1" applyAlignment="1">
      <alignment horizontal="left" wrapText="1"/>
    </xf>
    <xf numFmtId="43" fontId="0" fillId="0" borderId="0" xfId="0" applyNumberFormat="1"/>
    <xf numFmtId="0" fontId="2" fillId="2" borderId="1" xfId="0" applyFont="1" applyFill="1" applyBorder="1" applyAlignment="1">
      <alignment vertical="center" wrapText="1"/>
    </xf>
    <xf numFmtId="43" fontId="1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43" fontId="6" fillId="0" borderId="1" xfId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43" fontId="9" fillId="2" borderId="1" xfId="1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43" fontId="9" fillId="2" borderId="5" xfId="1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43" fontId="10" fillId="0" borderId="6" xfId="1" applyFont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43" fontId="0" fillId="0" borderId="0" xfId="1" applyFont="1"/>
    <xf numFmtId="0" fontId="11" fillId="0" borderId="0" xfId="0" applyFont="1"/>
    <xf numFmtId="0" fontId="11" fillId="2" borderId="0" xfId="0" applyFont="1" applyFill="1" applyAlignment="1">
      <alignment horizontal="center"/>
    </xf>
    <xf numFmtId="0" fontId="12" fillId="2" borderId="0" xfId="0" applyFont="1" applyFill="1"/>
    <xf numFmtId="0" fontId="0" fillId="2" borderId="0" xfId="0" applyFill="1"/>
    <xf numFmtId="0" fontId="3" fillId="2" borderId="9" xfId="49" applyFont="1" applyFill="1" applyBorder="1" applyAlignment="1">
      <alignment horizontal="center"/>
    </xf>
    <xf numFmtId="0" fontId="3" fillId="2" borderId="10" xfId="49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3" fontId="4" fillId="4" borderId="11" xfId="1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 wrapText="1"/>
    </xf>
    <xf numFmtId="43" fontId="4" fillId="4" borderId="12" xfId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 shrinkToFit="1"/>
    </xf>
    <xf numFmtId="43" fontId="4" fillId="4" borderId="13" xfId="1" applyFont="1" applyFill="1" applyBorder="1" applyAlignment="1">
      <alignment horizontal="center" vertical="center" wrapText="1"/>
    </xf>
    <xf numFmtId="41" fontId="4" fillId="2" borderId="1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8" fillId="2" borderId="1" xfId="1" applyNumberFormat="1" applyFont="1" applyFill="1" applyBorder="1" applyAlignment="1">
      <alignment horizontal="left" wrapText="1"/>
    </xf>
    <xf numFmtId="58" fontId="8" fillId="2" borderId="1" xfId="1" applyNumberFormat="1" applyFont="1" applyFill="1" applyBorder="1" applyAlignment="1">
      <alignment horizontal="left" wrapText="1"/>
    </xf>
    <xf numFmtId="0" fontId="7" fillId="2" borderId="1" xfId="1" applyNumberFormat="1" applyFont="1" applyFill="1" applyBorder="1" applyAlignment="1">
      <alignment horizontal="center"/>
    </xf>
    <xf numFmtId="43" fontId="7" fillId="2" borderId="1" xfId="1" applyFont="1" applyFill="1" applyBorder="1" applyAlignment="1">
      <alignment horizontal="center"/>
    </xf>
    <xf numFmtId="0" fontId="8" fillId="2" borderId="1" xfId="1" applyNumberFormat="1" applyFont="1" applyFill="1" applyBorder="1" applyAlignment="1">
      <alignment horizontal="left"/>
    </xf>
    <xf numFmtId="58" fontId="8" fillId="2" borderId="1" xfId="1" applyNumberFormat="1" applyFont="1" applyFill="1" applyBorder="1" applyAlignment="1">
      <alignment horizontal="left"/>
    </xf>
    <xf numFmtId="43" fontId="4" fillId="2" borderId="1" xfId="1" applyFont="1" applyFill="1" applyBorder="1" applyAlignment="1">
      <alignment horizontal="left" wrapText="1"/>
    </xf>
    <xf numFmtId="43" fontId="7" fillId="3" borderId="1" xfId="1" applyFont="1" applyFill="1" applyBorder="1" applyAlignment="1">
      <alignment horizontal="center"/>
    </xf>
    <xf numFmtId="0" fontId="4" fillId="2" borderId="12" xfId="0" applyFont="1" applyFill="1" applyBorder="1" applyAlignment="1">
      <alignment horizontal="left" wrapText="1"/>
    </xf>
    <xf numFmtId="0" fontId="8" fillId="2" borderId="12" xfId="1" applyNumberFormat="1" applyFont="1" applyFill="1" applyBorder="1" applyAlignment="1">
      <alignment horizontal="left"/>
    </xf>
    <xf numFmtId="58" fontId="8" fillId="2" borderId="12" xfId="1" applyNumberFormat="1" applyFont="1" applyFill="1" applyBorder="1" applyAlignment="1">
      <alignment horizontal="left"/>
    </xf>
    <xf numFmtId="43" fontId="4" fillId="3" borderId="12" xfId="1" applyFont="1" applyFill="1" applyBorder="1" applyAlignment="1">
      <alignment horizontal="center"/>
    </xf>
    <xf numFmtId="0" fontId="7" fillId="2" borderId="12" xfId="1" applyNumberFormat="1" applyFont="1" applyFill="1" applyBorder="1" applyAlignment="1">
      <alignment horizontal="center"/>
    </xf>
    <xf numFmtId="0" fontId="8" fillId="2" borderId="12" xfId="1" applyNumberFormat="1" applyFont="1" applyFill="1" applyBorder="1" applyAlignment="1">
      <alignment horizontal="left" wrapText="1"/>
    </xf>
    <xf numFmtId="58" fontId="8" fillId="2" borderId="12" xfId="1" applyNumberFormat="1" applyFont="1" applyFill="1" applyBorder="1" applyAlignment="1">
      <alignment horizontal="left" wrapText="1"/>
    </xf>
    <xf numFmtId="41" fontId="4" fillId="2" borderId="14" xfId="1" applyNumberFormat="1" applyFont="1" applyFill="1" applyBorder="1" applyAlignment="1">
      <alignment horizontal="center"/>
    </xf>
    <xf numFmtId="43" fontId="7" fillId="2" borderId="0" xfId="1" applyFont="1" applyFill="1" applyAlignment="1">
      <alignment horizont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44" fontId="13" fillId="2" borderId="16" xfId="2" applyFont="1" applyFill="1" applyBorder="1"/>
    <xf numFmtId="43" fontId="13" fillId="2" borderId="16" xfId="1" applyFont="1" applyFill="1" applyBorder="1"/>
    <xf numFmtId="0" fontId="14" fillId="2" borderId="17" xfId="0" applyFont="1" applyFill="1" applyBorder="1" applyAlignment="1">
      <alignment horizontal="center"/>
    </xf>
    <xf numFmtId="4" fontId="14" fillId="2" borderId="0" xfId="0" applyNumberFormat="1" applyFont="1" applyFill="1"/>
    <xf numFmtId="0" fontId="14" fillId="2" borderId="17" xfId="0" applyFont="1" applyFill="1" applyBorder="1" applyAlignment="1"/>
    <xf numFmtId="0" fontId="15" fillId="2" borderId="0" xfId="0" applyFont="1" applyFill="1" applyBorder="1" applyAlignment="1">
      <alignment horizontal="left"/>
    </xf>
    <xf numFmtId="0" fontId="14" fillId="2" borderId="0" xfId="0" applyFont="1" applyFill="1"/>
    <xf numFmtId="43" fontId="14" fillId="2" borderId="0" xfId="0" applyNumberFormat="1" applyFont="1" applyFill="1" applyAlignment="1"/>
    <xf numFmtId="43" fontId="14" fillId="2" borderId="0" xfId="0" applyNumberFormat="1" applyFont="1" applyFill="1"/>
    <xf numFmtId="43" fontId="0" fillId="2" borderId="0" xfId="0" applyNumberFormat="1" applyFill="1"/>
    <xf numFmtId="43" fontId="16" fillId="4" borderId="1" xfId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left" vertical="center" wrapText="1"/>
    </xf>
    <xf numFmtId="0" fontId="8" fillId="2" borderId="1" xfId="1" applyNumberFormat="1" applyFont="1" applyFill="1" applyBorder="1" applyAlignment="1">
      <alignment horizontal="center"/>
    </xf>
    <xf numFmtId="43" fontId="8" fillId="2" borderId="1" xfId="1" applyFont="1" applyFill="1" applyBorder="1" applyAlignment="1">
      <alignment horizontal="center"/>
    </xf>
    <xf numFmtId="43" fontId="4" fillId="2" borderId="1" xfId="1" applyFont="1" applyFill="1" applyBorder="1" applyAlignment="1">
      <alignment horizontal="right"/>
    </xf>
    <xf numFmtId="43" fontId="4" fillId="2" borderId="1" xfId="1" applyFont="1" applyFill="1" applyBorder="1" applyAlignment="1">
      <alignment horizontal="right" shrinkToFit="1"/>
    </xf>
    <xf numFmtId="0" fontId="4" fillId="2" borderId="1" xfId="1" applyNumberFormat="1" applyFont="1" applyFill="1" applyBorder="1" applyAlignment="1">
      <alignment horizontal="center"/>
    </xf>
    <xf numFmtId="43" fontId="4" fillId="2" borderId="1" xfId="1" applyFont="1" applyFill="1" applyBorder="1" applyAlignment="1">
      <alignment horizontal="right" wrapText="1" shrinkToFit="1"/>
    </xf>
    <xf numFmtId="2" fontId="4" fillId="2" borderId="1" xfId="2" applyNumberFormat="1" applyFont="1" applyFill="1" applyBorder="1" applyAlignment="1">
      <alignment horizontal="center"/>
    </xf>
    <xf numFmtId="43" fontId="4" fillId="2" borderId="12" xfId="1" applyFont="1" applyFill="1" applyBorder="1" applyAlignment="1">
      <alignment horizontal="center"/>
    </xf>
    <xf numFmtId="43" fontId="4" fillId="2" borderId="12" xfId="1" applyFont="1" applyFill="1" applyBorder="1" applyAlignment="1">
      <alignment horizontal="right"/>
    </xf>
    <xf numFmtId="0" fontId="8" fillId="2" borderId="12" xfId="1" applyNumberFormat="1" applyFont="1" applyFill="1" applyBorder="1" applyAlignment="1">
      <alignment horizontal="center"/>
    </xf>
    <xf numFmtId="43" fontId="8" fillId="2" borderId="12" xfId="1" applyFont="1" applyFill="1" applyBorder="1" applyAlignment="1">
      <alignment horizontal="center"/>
    </xf>
    <xf numFmtId="2" fontId="8" fillId="2" borderId="1" xfId="1" applyNumberFormat="1" applyFont="1" applyFill="1" applyBorder="1" applyAlignment="1">
      <alignment horizontal="center"/>
    </xf>
    <xf numFmtId="2" fontId="8" fillId="2" borderId="12" xfId="1" applyNumberFormat="1" applyFont="1" applyFill="1" applyBorder="1" applyAlignment="1">
      <alignment horizontal="center"/>
    </xf>
    <xf numFmtId="43" fontId="13" fillId="2" borderId="16" xfId="1" applyFont="1" applyFill="1" applyBorder="1" applyAlignment="1">
      <alignment horizontal="right"/>
    </xf>
    <xf numFmtId="0" fontId="13" fillId="2" borderId="16" xfId="1" applyNumberFormat="1" applyFont="1" applyFill="1" applyBorder="1"/>
    <xf numFmtId="0" fontId="14" fillId="2" borderId="0" xfId="0" applyFont="1" applyFill="1" applyAlignment="1">
      <alignment horizontal="center"/>
    </xf>
    <xf numFmtId="43" fontId="14" fillId="2" borderId="0" xfId="1" applyFont="1" applyFill="1"/>
    <xf numFmtId="0" fontId="15" fillId="2" borderId="0" xfId="0" applyFont="1" applyFill="1" applyBorder="1" applyAlignment="1"/>
    <xf numFmtId="43" fontId="3" fillId="2" borderId="10" xfId="49" applyNumberFormat="1" applyFont="1" applyFill="1" applyBorder="1" applyAlignment="1">
      <alignment horizontal="center"/>
    </xf>
    <xf numFmtId="0" fontId="3" fillId="2" borderId="1" xfId="49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 vertical="center"/>
    </xf>
    <xf numFmtId="43" fontId="4" fillId="0" borderId="13" xfId="1" applyFont="1" applyFill="1" applyBorder="1" applyAlignment="1">
      <alignment horizontal="right"/>
    </xf>
    <xf numFmtId="43" fontId="3" fillId="2" borderId="1" xfId="1" applyFont="1" applyFill="1" applyBorder="1" applyAlignment="1">
      <alignment horizontal="center"/>
    </xf>
    <xf numFmtId="0" fontId="14" fillId="2" borderId="0" xfId="0" applyFont="1" applyFill="1" applyAlignment="1">
      <alignment horizontal="left"/>
    </xf>
    <xf numFmtId="0" fontId="7" fillId="2" borderId="0" xfId="0" applyFont="1" applyFill="1"/>
    <xf numFmtId="43" fontId="17" fillId="2" borderId="0" xfId="0" applyNumberFormat="1" applyFont="1" applyFill="1" applyAlignment="1">
      <alignment horizontal="left"/>
    </xf>
    <xf numFmtId="43" fontId="14" fillId="2" borderId="0" xfId="0" applyNumberFormat="1" applyFont="1" applyFill="1" applyAlignment="1">
      <alignment horizontal="left"/>
    </xf>
    <xf numFmtId="43" fontId="7" fillId="2" borderId="0" xfId="0" applyNumberFormat="1" applyFont="1" applyFill="1"/>
    <xf numFmtId="43" fontId="18" fillId="2" borderId="0" xfId="0" applyNumberFormat="1" applyFont="1" applyFill="1"/>
    <xf numFmtId="0" fontId="2" fillId="0" borderId="1" xfId="0" applyFont="1" applyBorder="1" applyAlignment="1" quotePrefix="1">
      <alignment vertical="center" wrapText="1"/>
    </xf>
    <xf numFmtId="0" fontId="2" fillId="2" borderId="1" xfId="0" applyFont="1" applyFill="1" applyBorder="1" applyAlignment="1" quotePrefix="1">
      <alignment vertical="center" wrapText="1"/>
    </xf>
    <xf numFmtId="0" fontId="2" fillId="0" borderId="1" xfId="0" applyFont="1" applyBorder="1" applyAlignment="1" quotePrefix="1">
      <alignment horizontal="left" vertical="center" wrapText="1"/>
    </xf>
    <xf numFmtId="0" fontId="1" fillId="0" borderId="1" xfId="0" applyFont="1" applyBorder="1" applyAlignment="1" quotePrefix="1">
      <alignment vertical="center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"/>
  <sheetViews>
    <sheetView zoomScale="49" zoomScaleNormal="49" topLeftCell="D34" workbookViewId="0">
      <selection activeCell="X48" sqref="X48"/>
    </sheetView>
  </sheetViews>
  <sheetFormatPr defaultColWidth="9" defaultRowHeight="15"/>
  <cols>
    <col min="2" max="2" width="20" customWidth="1"/>
    <col min="3" max="3" width="21.4285714285714" customWidth="1"/>
    <col min="4" max="4" width="18" customWidth="1"/>
    <col min="5" max="5" width="17.5714285714286" customWidth="1"/>
    <col min="6" max="6" width="13.8571428571429"/>
    <col min="7" max="7" width="14.8571428571429" customWidth="1"/>
    <col min="8" max="8" width="16.2857142857143" customWidth="1"/>
    <col min="9" max="9" width="14.5714285714286" customWidth="1"/>
    <col min="10" max="10" width="21.1428571428571" customWidth="1"/>
    <col min="11" max="11" width="19.7142857142857" customWidth="1"/>
    <col min="12" max="12" width="9.14285714285714" customWidth="1"/>
    <col min="14" max="14" width="13.5047619047619" customWidth="1"/>
    <col min="15" max="15" width="13.4285714285714" customWidth="1"/>
    <col min="16" max="16" width="15.1428571428571" customWidth="1"/>
    <col min="17" max="17" width="22.1428571428571" customWidth="1"/>
    <col min="18" max="18" width="22.2857142857143" customWidth="1"/>
    <col min="19" max="20" width="17.1428571428571" customWidth="1"/>
    <col min="21" max="21" width="17.8571428571429" customWidth="1"/>
    <col min="22" max="22" width="16.7142857142857" customWidth="1"/>
    <col min="23" max="23" width="17.7142857142857" customWidth="1"/>
    <col min="24" max="24" width="17" customWidth="1"/>
    <col min="25" max="25" width="20.3619047619048" customWidth="1"/>
    <col min="26" max="26" width="18.8571428571429" customWidth="1"/>
  </cols>
  <sheetData>
    <row r="1" ht="51.75" customHeight="1" spans="1:24">
      <c r="A1" s="34"/>
      <c r="B1" s="35"/>
      <c r="C1" s="35"/>
      <c r="D1" s="35"/>
      <c r="E1" s="35" t="s">
        <v>0</v>
      </c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94"/>
    </row>
    <row r="2" ht="42" customHeight="1" spans="1:24">
      <c r="A2" s="36" t="s">
        <v>1</v>
      </c>
      <c r="B2" s="37"/>
      <c r="C2" s="37"/>
      <c r="D2" s="37"/>
      <c r="E2" s="37" t="s">
        <v>2</v>
      </c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95"/>
    </row>
    <row r="3" ht="30" customHeight="1" spans="1:24">
      <c r="A3" s="38" t="s">
        <v>3</v>
      </c>
      <c r="B3" s="39" t="s">
        <v>4</v>
      </c>
      <c r="C3" s="39" t="s">
        <v>5</v>
      </c>
      <c r="D3" s="40" t="s">
        <v>6</v>
      </c>
      <c r="E3" s="39" t="s">
        <v>7</v>
      </c>
      <c r="F3" s="39" t="s">
        <v>8</v>
      </c>
      <c r="G3" s="41" t="s">
        <v>9</v>
      </c>
      <c r="H3" s="39" t="s">
        <v>10</v>
      </c>
      <c r="I3" s="41" t="s">
        <v>11</v>
      </c>
      <c r="J3" s="41" t="s">
        <v>12</v>
      </c>
      <c r="K3" s="74" t="s">
        <v>13</v>
      </c>
      <c r="L3" s="74"/>
      <c r="M3" s="74"/>
      <c r="N3" s="74" t="s">
        <v>14</v>
      </c>
      <c r="O3" s="39" t="s">
        <v>15</v>
      </c>
      <c r="P3" s="39" t="s">
        <v>16</v>
      </c>
      <c r="Q3" s="39" t="s">
        <v>17</v>
      </c>
      <c r="R3" s="39" t="s">
        <v>18</v>
      </c>
      <c r="S3" s="39" t="s">
        <v>19</v>
      </c>
      <c r="T3" s="39"/>
      <c r="U3" s="39"/>
      <c r="V3" s="41" t="s">
        <v>20</v>
      </c>
      <c r="W3" s="41" t="s">
        <v>21</v>
      </c>
      <c r="X3" s="39" t="s">
        <v>22</v>
      </c>
    </row>
    <row r="4" s="30" customFormat="1" ht="56.25" spans="1:24">
      <c r="A4" s="38"/>
      <c r="B4" s="39"/>
      <c r="C4" s="39"/>
      <c r="D4" s="42"/>
      <c r="E4" s="39"/>
      <c r="F4" s="39"/>
      <c r="G4" s="41"/>
      <c r="H4" s="39"/>
      <c r="I4" s="41"/>
      <c r="J4" s="41"/>
      <c r="K4" s="75" t="s">
        <v>23</v>
      </c>
      <c r="L4" s="75" t="s">
        <v>24</v>
      </c>
      <c r="M4" s="75" t="s">
        <v>25</v>
      </c>
      <c r="N4" s="74"/>
      <c r="O4" s="39"/>
      <c r="P4" s="39"/>
      <c r="Q4" s="39"/>
      <c r="R4" s="39"/>
      <c r="S4" s="96" t="s">
        <v>26</v>
      </c>
      <c r="T4" s="39" t="s">
        <v>27</v>
      </c>
      <c r="U4" s="41" t="s">
        <v>28</v>
      </c>
      <c r="V4" s="41"/>
      <c r="W4" s="41"/>
      <c r="X4" s="39"/>
    </row>
    <row r="5" s="30" customFormat="1" ht="48" customHeight="1" spans="1:24">
      <c r="A5" s="38"/>
      <c r="B5" s="39"/>
      <c r="C5" s="39"/>
      <c r="D5" s="42"/>
      <c r="E5" s="39"/>
      <c r="F5" s="39"/>
      <c r="G5" s="41"/>
      <c r="H5" s="39"/>
      <c r="I5" s="41"/>
      <c r="J5" s="41"/>
      <c r="K5" s="75"/>
      <c r="L5" s="75"/>
      <c r="M5" s="75"/>
      <c r="N5" s="75"/>
      <c r="O5" s="39"/>
      <c r="P5" s="39"/>
      <c r="Q5" s="39"/>
      <c r="R5" s="39"/>
      <c r="S5" s="75">
        <f>IF(R5&lt;=2000,0,IF(R5&lt;=4000,R5*0.15-300,IF(R5&lt;=7000,R5*0.2-500,IF(R5&lt;=10000,R5*0.25-850,IF(R5&lt;=14000,R5*0.3-1350,IF(R5&gt;=14001,R5*0.35-2050))))))</f>
        <v>0</v>
      </c>
      <c r="T5" s="39"/>
      <c r="U5" s="41"/>
      <c r="V5" s="41"/>
      <c r="W5" s="41"/>
      <c r="X5" s="39"/>
    </row>
    <row r="6" s="31" customFormat="1" ht="50.25" customHeight="1" spans="1:24">
      <c r="A6" s="43">
        <v>1</v>
      </c>
      <c r="B6" s="44" t="s">
        <v>29</v>
      </c>
      <c r="C6" s="45"/>
      <c r="D6" s="46" t="s">
        <v>30</v>
      </c>
      <c r="E6" s="6">
        <v>14569</v>
      </c>
      <c r="F6" s="47">
        <v>30</v>
      </c>
      <c r="G6" s="7">
        <f>E6/30</f>
        <v>485.633333333333</v>
      </c>
      <c r="H6" s="48">
        <f>E6*F6/30</f>
        <v>14569</v>
      </c>
      <c r="I6" s="7">
        <v>2200</v>
      </c>
      <c r="J6" s="7"/>
      <c r="K6" s="76"/>
      <c r="L6" s="77"/>
      <c r="M6" s="77"/>
      <c r="N6" s="77"/>
      <c r="O6" s="77">
        <f>G6/8*1.5*K6+G6/8*L6*2+G6/8*2.5*M6</f>
        <v>0</v>
      </c>
      <c r="P6" s="77"/>
      <c r="Q6" s="7">
        <f>H6+I6+J6+O6+P6+N6</f>
        <v>16769</v>
      </c>
      <c r="R6" s="7">
        <f>H6+J6+O6+P6</f>
        <v>14569</v>
      </c>
      <c r="S6" s="97">
        <f t="shared" ref="S5:S10" si="0">IF(R6&lt;=2000,0,IF(R6&lt;=4000,R6*0.15-300,IF(R6&lt;=7000,R6*0.2-500,IF(R6&lt;=10000,R6*0.25-850,IF(R6&lt;=14000,R6*0.3-1350,IF(R6&gt;=14001,R6*0.35-2050))))))</f>
        <v>3049.15</v>
      </c>
      <c r="T6" s="77"/>
      <c r="U6" s="7">
        <f>+H6*0.07</f>
        <v>1019.83</v>
      </c>
      <c r="V6" s="7">
        <f>+H6*0.11</f>
        <v>1602.59</v>
      </c>
      <c r="W6" s="7">
        <f>+S6+T6+U6</f>
        <v>4068.98</v>
      </c>
      <c r="X6" s="7">
        <f>+Q6-W6</f>
        <v>12700.02</v>
      </c>
    </row>
    <row r="7" s="31" customFormat="1" ht="57" customHeight="1" spans="1:24">
      <c r="A7" s="43">
        <v>2</v>
      </c>
      <c r="B7" s="44" t="s">
        <v>31</v>
      </c>
      <c r="C7" s="45"/>
      <c r="D7" s="46" t="s">
        <v>30</v>
      </c>
      <c r="E7" s="6">
        <v>14569</v>
      </c>
      <c r="F7" s="47">
        <v>30</v>
      </c>
      <c r="G7" s="7">
        <f>E7/30</f>
        <v>485.633333333333</v>
      </c>
      <c r="H7" s="48">
        <f>E7*F7/30</f>
        <v>14569</v>
      </c>
      <c r="I7" s="7">
        <v>2200</v>
      </c>
      <c r="J7" s="78"/>
      <c r="K7" s="76"/>
      <c r="L7" s="77"/>
      <c r="M7" s="77"/>
      <c r="N7" s="77"/>
      <c r="O7" s="77">
        <f>G7/8*1.5*K7+G7/8*L7*2+G7/8*2.5*M7</f>
        <v>0</v>
      </c>
      <c r="P7" s="77"/>
      <c r="Q7" s="7">
        <f t="shared" ref="Q7:Q46" si="1">H7+I7+J7+O7+P7+N7</f>
        <v>16769</v>
      </c>
      <c r="R7" s="7">
        <f>H7+J7+O7+P7</f>
        <v>14569</v>
      </c>
      <c r="S7" s="97">
        <f t="shared" si="0"/>
        <v>3049.15</v>
      </c>
      <c r="T7" s="77"/>
      <c r="U7" s="7">
        <f>+H7*0.07</f>
        <v>1019.83</v>
      </c>
      <c r="V7" s="7">
        <f>+H7*0.11</f>
        <v>1602.59</v>
      </c>
      <c r="W7" s="7">
        <f>+S7+T7+U7</f>
        <v>4068.98</v>
      </c>
      <c r="X7" s="7">
        <f>+Q7-W7</f>
        <v>12700.02</v>
      </c>
    </row>
    <row r="8" s="31" customFormat="1" ht="46.5" customHeight="1" spans="1:24">
      <c r="A8" s="43">
        <v>3</v>
      </c>
      <c r="B8" s="44" t="s">
        <v>32</v>
      </c>
      <c r="C8" s="49"/>
      <c r="D8" s="50" t="s">
        <v>30</v>
      </c>
      <c r="E8" s="6">
        <v>18916</v>
      </c>
      <c r="F8" s="47">
        <v>30</v>
      </c>
      <c r="G8" s="7">
        <f>E8/30</f>
        <v>630.533333333333</v>
      </c>
      <c r="H8" s="48">
        <f>E8*F8/30</f>
        <v>18916</v>
      </c>
      <c r="I8" s="7">
        <v>600</v>
      </c>
      <c r="J8" s="78"/>
      <c r="K8" s="76"/>
      <c r="L8" s="77"/>
      <c r="M8" s="77"/>
      <c r="N8" s="77"/>
      <c r="O8" s="77">
        <f>G8/8*1.5*K8+G8/8*L8*2+G8/8*2.5*M8</f>
        <v>0</v>
      </c>
      <c r="P8" s="77"/>
      <c r="Q8" s="7">
        <f t="shared" si="1"/>
        <v>19516</v>
      </c>
      <c r="R8" s="7">
        <f>H8+J8+O8+P8</f>
        <v>18916</v>
      </c>
      <c r="S8" s="97">
        <f t="shared" si="0"/>
        <v>4570.6</v>
      </c>
      <c r="T8" s="77"/>
      <c r="U8" s="7">
        <f>+H8*0.07</f>
        <v>1324.12</v>
      </c>
      <c r="V8" s="7">
        <f>+H8*0.11</f>
        <v>2080.76</v>
      </c>
      <c r="W8" s="7">
        <f>+S8+T8+U8</f>
        <v>5894.72</v>
      </c>
      <c r="X8" s="7">
        <f>+Q8-W8</f>
        <v>13621.28</v>
      </c>
    </row>
    <row r="9" s="31" customFormat="1" ht="60" customHeight="1" spans="1:24">
      <c r="A9" s="43">
        <v>4</v>
      </c>
      <c r="B9" s="51" t="s">
        <v>33</v>
      </c>
      <c r="C9" s="45"/>
      <c r="D9" s="46" t="s">
        <v>34</v>
      </c>
      <c r="E9" s="52">
        <v>18916</v>
      </c>
      <c r="F9" s="47">
        <v>30</v>
      </c>
      <c r="G9" s="7">
        <f>E9/30</f>
        <v>630.533333333333</v>
      </c>
      <c r="H9" s="48">
        <f>E9*F9/30</f>
        <v>18916</v>
      </c>
      <c r="I9" s="7">
        <v>600</v>
      </c>
      <c r="J9" s="79"/>
      <c r="K9" s="80"/>
      <c r="L9" s="7"/>
      <c r="M9" s="7"/>
      <c r="N9" s="7"/>
      <c r="O9" s="77">
        <f>G9/8*1.5*K9+G9/8*L9*2+G9/8*2.5*M9</f>
        <v>0</v>
      </c>
      <c r="P9" s="7"/>
      <c r="Q9" s="7">
        <f t="shared" si="1"/>
        <v>19516</v>
      </c>
      <c r="R9" s="7">
        <f>H9+J9+O9+P9</f>
        <v>18916</v>
      </c>
      <c r="S9" s="97">
        <f t="shared" si="0"/>
        <v>4570.6</v>
      </c>
      <c r="T9" s="77"/>
      <c r="U9" s="7">
        <f>+H9*0.07</f>
        <v>1324.12</v>
      </c>
      <c r="V9" s="7">
        <f>+H9*0.11</f>
        <v>2080.76</v>
      </c>
      <c r="W9" s="7">
        <f>+S9+T9+U9</f>
        <v>5894.72</v>
      </c>
      <c r="X9" s="7">
        <f>+Q9-W9</f>
        <v>13621.28</v>
      </c>
    </row>
    <row r="10" s="31" customFormat="1" ht="62.25" customHeight="1" spans="1:24">
      <c r="A10" s="43">
        <v>5</v>
      </c>
      <c r="B10" s="51" t="s">
        <v>35</v>
      </c>
      <c r="C10" s="45"/>
      <c r="D10" s="46" t="s">
        <v>36</v>
      </c>
      <c r="E10" s="6">
        <v>18916</v>
      </c>
      <c r="F10" s="47">
        <v>30</v>
      </c>
      <c r="G10" s="7">
        <f>E10/30</f>
        <v>630.533333333333</v>
      </c>
      <c r="H10" s="48">
        <f>E10*F10/30</f>
        <v>18916</v>
      </c>
      <c r="I10" s="7">
        <v>600</v>
      </c>
      <c r="J10" s="78"/>
      <c r="K10" s="80"/>
      <c r="L10" s="7"/>
      <c r="M10" s="7"/>
      <c r="N10" s="7"/>
      <c r="O10" s="77">
        <f>G10/8*1.5*K10+G10/8*L10*2+G10/8*2.5*M10</f>
        <v>0</v>
      </c>
      <c r="P10" s="77"/>
      <c r="Q10" s="7">
        <f t="shared" si="1"/>
        <v>19516</v>
      </c>
      <c r="R10" s="7">
        <f>H10+J10+O10+P10</f>
        <v>18916</v>
      </c>
      <c r="S10" s="97">
        <f t="shared" si="0"/>
        <v>4570.6</v>
      </c>
      <c r="T10" s="77"/>
      <c r="U10" s="7">
        <f>+H10*0.07</f>
        <v>1324.12</v>
      </c>
      <c r="V10" s="7">
        <f>+H10*0.11</f>
        <v>2080.76</v>
      </c>
      <c r="W10" s="7">
        <f>+S10+T10+U10</f>
        <v>5894.72</v>
      </c>
      <c r="X10" s="7">
        <f>+Q10-W10</f>
        <v>13621.28</v>
      </c>
    </row>
    <row r="11" s="31" customFormat="1" ht="63.75" customHeight="1" spans="1:24">
      <c r="A11" s="43">
        <v>6</v>
      </c>
      <c r="B11" s="44" t="s">
        <v>37</v>
      </c>
      <c r="C11" s="45"/>
      <c r="D11" s="46" t="s">
        <v>38</v>
      </c>
      <c r="E11" s="6">
        <v>50425</v>
      </c>
      <c r="F11" s="47">
        <v>30</v>
      </c>
      <c r="G11" s="7">
        <f t="shared" ref="G11:G36" si="2">E11/30</f>
        <v>1680.83333333333</v>
      </c>
      <c r="H11" s="48">
        <f t="shared" ref="H11:H37" si="3">E11*F11/30</f>
        <v>50425</v>
      </c>
      <c r="I11" s="7">
        <v>600</v>
      </c>
      <c r="J11" s="78"/>
      <c r="K11" s="80"/>
      <c r="L11" s="7"/>
      <c r="M11" s="7"/>
      <c r="N11" s="7"/>
      <c r="O11" s="77">
        <f t="shared" ref="O11:O36" si="4">G11/8*1.5*K11+G11/8*L11*2+G11/8*2.5*M11</f>
        <v>0</v>
      </c>
      <c r="P11" s="77"/>
      <c r="Q11" s="7">
        <f t="shared" si="1"/>
        <v>51025</v>
      </c>
      <c r="R11" s="7">
        <f t="shared" ref="R11:R36" si="5">H11+J11+O11+P11</f>
        <v>50425</v>
      </c>
      <c r="S11" s="97">
        <f t="shared" ref="S11:S46" si="6">IF(R11&lt;=2000,0,IF(R11&lt;=4000,R11*0.15-300,IF(R11&lt;=7000,R11*0.2-500,IF(R11&lt;=10000,R11*0.25-850,IF(R11&lt;=14000,R11*0.3-1350,IF(R11&gt;=14001,R11*0.35-2050))))))</f>
        <v>15598.75</v>
      </c>
      <c r="T11" s="77"/>
      <c r="U11" s="7">
        <f t="shared" ref="U11:U35" si="7">+H11*0.07</f>
        <v>3529.75</v>
      </c>
      <c r="V11" s="7">
        <f t="shared" ref="V11:V35" si="8">+H11*0.11</f>
        <v>5546.75</v>
      </c>
      <c r="W11" s="7">
        <f t="shared" ref="W11:W36" si="9">+S11+T11+U11</f>
        <v>19128.5</v>
      </c>
      <c r="X11" s="7">
        <f t="shared" ref="X11:X36" si="10">+Q11-W11</f>
        <v>31896.5</v>
      </c>
    </row>
    <row r="12" s="31" customFormat="1" ht="49.5" customHeight="1" spans="1:24">
      <c r="A12" s="43">
        <v>7</v>
      </c>
      <c r="B12" s="51" t="s">
        <v>39</v>
      </c>
      <c r="C12" s="49"/>
      <c r="D12" s="50" t="s">
        <v>38</v>
      </c>
      <c r="E12" s="52">
        <v>33778.28</v>
      </c>
      <c r="F12" s="47">
        <v>30</v>
      </c>
      <c r="G12" s="7">
        <f t="shared" si="2"/>
        <v>1125.94266666667</v>
      </c>
      <c r="H12" s="48">
        <f t="shared" si="3"/>
        <v>33778.28</v>
      </c>
      <c r="I12" s="7">
        <v>600</v>
      </c>
      <c r="J12" s="81"/>
      <c r="K12" s="80"/>
      <c r="L12" s="7"/>
      <c r="M12" s="7"/>
      <c r="N12" s="7"/>
      <c r="O12" s="77">
        <f t="shared" si="4"/>
        <v>0</v>
      </c>
      <c r="P12" s="7"/>
      <c r="Q12" s="7">
        <f t="shared" si="1"/>
        <v>34378.28</v>
      </c>
      <c r="R12" s="7">
        <f t="shared" si="5"/>
        <v>33778.28</v>
      </c>
      <c r="S12" s="97">
        <f t="shared" si="6"/>
        <v>9772.398</v>
      </c>
      <c r="T12" s="77"/>
      <c r="U12" s="7">
        <f t="shared" si="7"/>
        <v>2364.4796</v>
      </c>
      <c r="V12" s="7">
        <f t="shared" si="8"/>
        <v>3715.6108</v>
      </c>
      <c r="W12" s="7">
        <f t="shared" si="9"/>
        <v>12136.8776</v>
      </c>
      <c r="X12" s="7">
        <f t="shared" si="10"/>
        <v>22241.4024</v>
      </c>
    </row>
    <row r="13" s="31" customFormat="1" ht="52" customHeight="1" spans="1:24">
      <c r="A13" s="43">
        <v>8</v>
      </c>
      <c r="B13" s="51" t="s">
        <v>40</v>
      </c>
      <c r="C13" s="45"/>
      <c r="D13" s="46" t="s">
        <v>38</v>
      </c>
      <c r="E13" s="52">
        <v>13143.17</v>
      </c>
      <c r="F13" s="47">
        <v>30</v>
      </c>
      <c r="G13" s="7">
        <f t="shared" si="2"/>
        <v>438.105666666667</v>
      </c>
      <c r="H13" s="48">
        <f t="shared" si="3"/>
        <v>13143.17</v>
      </c>
      <c r="I13" s="7">
        <v>600</v>
      </c>
      <c r="J13" s="79"/>
      <c r="K13" s="82"/>
      <c r="L13" s="7"/>
      <c r="M13" s="7"/>
      <c r="N13" s="7"/>
      <c r="O13" s="77"/>
      <c r="P13" s="7"/>
      <c r="Q13" s="7">
        <f t="shared" si="1"/>
        <v>13743.17</v>
      </c>
      <c r="R13" s="7">
        <f t="shared" si="5"/>
        <v>13143.17</v>
      </c>
      <c r="S13" s="97">
        <f t="shared" si="6"/>
        <v>2592.951</v>
      </c>
      <c r="T13" s="77"/>
      <c r="U13" s="7">
        <f t="shared" si="7"/>
        <v>920.0219</v>
      </c>
      <c r="V13" s="7">
        <f t="shared" si="8"/>
        <v>1445.7487</v>
      </c>
      <c r="W13" s="7">
        <f t="shared" si="9"/>
        <v>3512.9729</v>
      </c>
      <c r="X13" s="7">
        <f t="shared" si="10"/>
        <v>10230.1971</v>
      </c>
    </row>
    <row r="14" s="31" customFormat="1" ht="63.75" customHeight="1" spans="1:24">
      <c r="A14" s="43">
        <v>9</v>
      </c>
      <c r="B14" s="51" t="s">
        <v>41</v>
      </c>
      <c r="C14" s="45"/>
      <c r="D14" s="46" t="s">
        <v>42</v>
      </c>
      <c r="E14" s="52">
        <v>4928.1</v>
      </c>
      <c r="F14" s="47">
        <v>30</v>
      </c>
      <c r="G14" s="7">
        <f t="shared" si="2"/>
        <v>164.27</v>
      </c>
      <c r="H14" s="48">
        <f t="shared" si="3"/>
        <v>4928.1</v>
      </c>
      <c r="I14" s="7">
        <v>600</v>
      </c>
      <c r="J14" s="79"/>
      <c r="K14" s="82"/>
      <c r="L14" s="7"/>
      <c r="M14" s="7"/>
      <c r="N14" s="7"/>
      <c r="O14" s="77"/>
      <c r="P14" s="7"/>
      <c r="Q14" s="7">
        <f t="shared" si="1"/>
        <v>5528.1</v>
      </c>
      <c r="R14" s="7">
        <f t="shared" si="5"/>
        <v>4928.1</v>
      </c>
      <c r="S14" s="97">
        <f t="shared" si="6"/>
        <v>485.62</v>
      </c>
      <c r="T14" s="77"/>
      <c r="U14" s="7">
        <f t="shared" si="7"/>
        <v>344.967</v>
      </c>
      <c r="V14" s="7">
        <f t="shared" si="8"/>
        <v>542.091</v>
      </c>
      <c r="W14" s="7">
        <f t="shared" si="9"/>
        <v>830.587</v>
      </c>
      <c r="X14" s="7">
        <f t="shared" si="10"/>
        <v>4697.513</v>
      </c>
    </row>
    <row r="15" s="31" customFormat="1" ht="47.25" customHeight="1" spans="1:24">
      <c r="A15" s="43">
        <v>10</v>
      </c>
      <c r="B15" s="51" t="s">
        <v>43</v>
      </c>
      <c r="C15" s="45"/>
      <c r="D15" s="46" t="s">
        <v>44</v>
      </c>
      <c r="E15" s="52">
        <v>4928.1</v>
      </c>
      <c r="F15" s="47">
        <v>30</v>
      </c>
      <c r="G15" s="7">
        <f t="shared" si="2"/>
        <v>164.27</v>
      </c>
      <c r="H15" s="48">
        <f t="shared" si="3"/>
        <v>4928.1</v>
      </c>
      <c r="I15" s="7">
        <v>600</v>
      </c>
      <c r="J15" s="81"/>
      <c r="K15" s="80"/>
      <c r="L15" s="7"/>
      <c r="M15" s="7"/>
      <c r="N15" s="7"/>
      <c r="O15" s="77">
        <f t="shared" si="4"/>
        <v>0</v>
      </c>
      <c r="P15" s="7"/>
      <c r="Q15" s="7">
        <f t="shared" si="1"/>
        <v>5528.1</v>
      </c>
      <c r="R15" s="7">
        <f t="shared" si="5"/>
        <v>4928.1</v>
      </c>
      <c r="S15" s="97">
        <f t="shared" si="6"/>
        <v>485.62</v>
      </c>
      <c r="T15" s="77"/>
      <c r="U15" s="7">
        <f t="shared" si="7"/>
        <v>344.967</v>
      </c>
      <c r="V15" s="7">
        <f t="shared" si="8"/>
        <v>542.091</v>
      </c>
      <c r="W15" s="7">
        <f t="shared" si="9"/>
        <v>830.587</v>
      </c>
      <c r="X15" s="7">
        <f t="shared" si="10"/>
        <v>4697.513</v>
      </c>
    </row>
    <row r="16" s="31" customFormat="1" ht="51" customHeight="1" spans="1:24">
      <c r="A16" s="43">
        <v>11</v>
      </c>
      <c r="B16" s="51" t="s">
        <v>45</v>
      </c>
      <c r="C16" s="45"/>
      <c r="D16" s="46" t="s">
        <v>36</v>
      </c>
      <c r="E16" s="52">
        <v>2556.86</v>
      </c>
      <c r="F16" s="47">
        <v>30</v>
      </c>
      <c r="G16" s="7">
        <f t="shared" si="2"/>
        <v>85.2286666666667</v>
      </c>
      <c r="H16" s="48">
        <f t="shared" si="3"/>
        <v>2556.86</v>
      </c>
      <c r="I16" s="7">
        <v>600</v>
      </c>
      <c r="J16" s="81"/>
      <c r="K16" s="80"/>
      <c r="L16" s="7"/>
      <c r="M16" s="7"/>
      <c r="N16" s="7"/>
      <c r="O16" s="77">
        <f t="shared" si="4"/>
        <v>0</v>
      </c>
      <c r="P16" s="7"/>
      <c r="Q16" s="7">
        <f t="shared" si="1"/>
        <v>3156.86</v>
      </c>
      <c r="R16" s="7">
        <f t="shared" si="5"/>
        <v>2556.86</v>
      </c>
      <c r="S16" s="97">
        <f t="shared" si="6"/>
        <v>83.529</v>
      </c>
      <c r="T16" s="77"/>
      <c r="U16" s="7">
        <f t="shared" si="7"/>
        <v>178.9802</v>
      </c>
      <c r="V16" s="7">
        <f t="shared" si="8"/>
        <v>281.2546</v>
      </c>
      <c r="W16" s="7">
        <f t="shared" si="9"/>
        <v>262.5092</v>
      </c>
      <c r="X16" s="7">
        <f t="shared" si="10"/>
        <v>2894.3508</v>
      </c>
    </row>
    <row r="17" s="31" customFormat="1" ht="48.75" customHeight="1" spans="1:24">
      <c r="A17" s="43">
        <v>12</v>
      </c>
      <c r="B17" s="44" t="s">
        <v>46</v>
      </c>
      <c r="C17" s="45"/>
      <c r="D17" s="46" t="s">
        <v>47</v>
      </c>
      <c r="E17" s="6">
        <v>5955.88</v>
      </c>
      <c r="F17" s="47">
        <v>30</v>
      </c>
      <c r="G17" s="7">
        <f t="shared" si="2"/>
        <v>198.529333333333</v>
      </c>
      <c r="H17" s="48">
        <f t="shared" si="3"/>
        <v>5955.88</v>
      </c>
      <c r="I17" s="7">
        <v>600</v>
      </c>
      <c r="J17" s="78"/>
      <c r="K17" s="76"/>
      <c r="L17" s="77"/>
      <c r="M17" s="77"/>
      <c r="N17" s="77"/>
      <c r="O17" s="77">
        <f t="shared" si="4"/>
        <v>0</v>
      </c>
      <c r="P17" s="77">
        <v>2000</v>
      </c>
      <c r="Q17" s="7">
        <f t="shared" si="1"/>
        <v>8555.88</v>
      </c>
      <c r="R17" s="7">
        <f t="shared" si="5"/>
        <v>7955.88</v>
      </c>
      <c r="S17" s="97">
        <f t="shared" si="6"/>
        <v>1138.97</v>
      </c>
      <c r="T17" s="77"/>
      <c r="U17" s="7">
        <f t="shared" si="7"/>
        <v>416.9116</v>
      </c>
      <c r="V17" s="7">
        <f t="shared" si="8"/>
        <v>655.1468</v>
      </c>
      <c r="W17" s="7">
        <f t="shared" si="9"/>
        <v>1555.8816</v>
      </c>
      <c r="X17" s="7">
        <f t="shared" si="10"/>
        <v>6999.9984</v>
      </c>
    </row>
    <row r="18" s="31" customFormat="1" ht="63" customHeight="1" spans="1:24">
      <c r="A18" s="43">
        <v>13</v>
      </c>
      <c r="B18" s="44" t="s">
        <v>48</v>
      </c>
      <c r="C18" s="45"/>
      <c r="D18" s="46" t="s">
        <v>47</v>
      </c>
      <c r="E18" s="6">
        <v>3382.36</v>
      </c>
      <c r="F18" s="47">
        <v>30</v>
      </c>
      <c r="G18" s="7">
        <f t="shared" si="2"/>
        <v>112.745333333333</v>
      </c>
      <c r="H18" s="48">
        <f t="shared" si="3"/>
        <v>3382.36</v>
      </c>
      <c r="I18" s="7">
        <v>600</v>
      </c>
      <c r="J18" s="78"/>
      <c r="K18" s="76"/>
      <c r="L18" s="77"/>
      <c r="M18" s="77"/>
      <c r="N18" s="77"/>
      <c r="O18" s="77">
        <f t="shared" si="4"/>
        <v>0</v>
      </c>
      <c r="P18" s="77">
        <v>5000</v>
      </c>
      <c r="Q18" s="7">
        <f t="shared" si="1"/>
        <v>8982.36</v>
      </c>
      <c r="R18" s="7">
        <f t="shared" si="5"/>
        <v>8382.36</v>
      </c>
      <c r="S18" s="97">
        <f t="shared" si="6"/>
        <v>1245.59</v>
      </c>
      <c r="T18" s="77"/>
      <c r="U18" s="7">
        <f t="shared" si="7"/>
        <v>236.7652</v>
      </c>
      <c r="V18" s="7">
        <f t="shared" si="8"/>
        <v>372.0596</v>
      </c>
      <c r="W18" s="7">
        <f t="shared" si="9"/>
        <v>1482.3552</v>
      </c>
      <c r="X18" s="7">
        <f t="shared" si="10"/>
        <v>7500.0048</v>
      </c>
    </row>
    <row r="19" s="31" customFormat="1" ht="52.5" customHeight="1" spans="1:24">
      <c r="A19" s="43">
        <v>14</v>
      </c>
      <c r="B19" s="53" t="s">
        <v>49</v>
      </c>
      <c r="C19" s="54"/>
      <c r="D19" s="55" t="s">
        <v>47</v>
      </c>
      <c r="E19" s="56">
        <v>6712.33</v>
      </c>
      <c r="F19" s="57">
        <v>30</v>
      </c>
      <c r="G19" s="7">
        <f t="shared" si="2"/>
        <v>223.744333333333</v>
      </c>
      <c r="H19" s="48">
        <f t="shared" si="3"/>
        <v>6712.33</v>
      </c>
      <c r="I19" s="83">
        <v>600</v>
      </c>
      <c r="J19" s="84"/>
      <c r="K19" s="85"/>
      <c r="L19" s="86"/>
      <c r="M19" s="86"/>
      <c r="N19" s="86"/>
      <c r="O19" s="77">
        <f t="shared" si="4"/>
        <v>0</v>
      </c>
      <c r="P19" s="86"/>
      <c r="Q19" s="7">
        <f t="shared" si="1"/>
        <v>7312.33</v>
      </c>
      <c r="R19" s="7">
        <f t="shared" si="5"/>
        <v>6712.33</v>
      </c>
      <c r="S19" s="97">
        <f t="shared" si="6"/>
        <v>842.466</v>
      </c>
      <c r="T19" s="86"/>
      <c r="U19" s="7">
        <f t="shared" si="7"/>
        <v>469.8631</v>
      </c>
      <c r="V19" s="7">
        <f t="shared" si="8"/>
        <v>738.3563</v>
      </c>
      <c r="W19" s="7">
        <f t="shared" si="9"/>
        <v>1312.3291</v>
      </c>
      <c r="X19" s="7">
        <f t="shared" si="10"/>
        <v>6000.0009</v>
      </c>
    </row>
    <row r="20" s="31" customFormat="1" ht="47.25" customHeight="1" spans="1:24">
      <c r="A20" s="43">
        <v>15</v>
      </c>
      <c r="B20" s="53" t="s">
        <v>50</v>
      </c>
      <c r="C20" s="58"/>
      <c r="D20" s="59" t="s">
        <v>47</v>
      </c>
      <c r="E20" s="56">
        <v>6712.33</v>
      </c>
      <c r="F20" s="57">
        <v>30</v>
      </c>
      <c r="G20" s="7">
        <f t="shared" si="2"/>
        <v>223.744333333333</v>
      </c>
      <c r="H20" s="48">
        <f t="shared" si="3"/>
        <v>6712.33</v>
      </c>
      <c r="I20" s="83">
        <v>600</v>
      </c>
      <c r="J20" s="84"/>
      <c r="K20" s="85"/>
      <c r="L20" s="86"/>
      <c r="M20" s="86"/>
      <c r="N20" s="86"/>
      <c r="O20" s="77">
        <f t="shared" si="4"/>
        <v>0</v>
      </c>
      <c r="P20" s="86"/>
      <c r="Q20" s="7">
        <f t="shared" si="1"/>
        <v>7312.33</v>
      </c>
      <c r="R20" s="7">
        <f t="shared" si="5"/>
        <v>6712.33</v>
      </c>
      <c r="S20" s="97">
        <f t="shared" si="6"/>
        <v>842.466</v>
      </c>
      <c r="T20" s="86"/>
      <c r="U20" s="7">
        <f t="shared" si="7"/>
        <v>469.8631</v>
      </c>
      <c r="V20" s="7">
        <f t="shared" si="8"/>
        <v>738.3563</v>
      </c>
      <c r="W20" s="7">
        <f t="shared" si="9"/>
        <v>1312.3291</v>
      </c>
      <c r="X20" s="7">
        <f t="shared" si="10"/>
        <v>6000.0009</v>
      </c>
    </row>
    <row r="21" s="31" customFormat="1" ht="44.25" customHeight="1" spans="1:24">
      <c r="A21" s="43">
        <v>16</v>
      </c>
      <c r="B21" s="53" t="s">
        <v>51</v>
      </c>
      <c r="C21" s="58"/>
      <c r="D21" s="59" t="s">
        <v>47</v>
      </c>
      <c r="E21" s="56">
        <v>5342.47</v>
      </c>
      <c r="F21" s="57">
        <v>30</v>
      </c>
      <c r="G21" s="7">
        <f t="shared" si="2"/>
        <v>178.082333333333</v>
      </c>
      <c r="H21" s="48">
        <f t="shared" si="3"/>
        <v>5342.47</v>
      </c>
      <c r="I21" s="83">
        <v>600</v>
      </c>
      <c r="J21" s="84"/>
      <c r="K21" s="85"/>
      <c r="L21" s="86"/>
      <c r="M21" s="86"/>
      <c r="N21" s="86"/>
      <c r="O21" s="77">
        <f t="shared" si="4"/>
        <v>0</v>
      </c>
      <c r="P21" s="86"/>
      <c r="Q21" s="7">
        <f t="shared" si="1"/>
        <v>5942.47</v>
      </c>
      <c r="R21" s="7">
        <f t="shared" si="5"/>
        <v>5342.47</v>
      </c>
      <c r="S21" s="97">
        <f t="shared" si="6"/>
        <v>568.494</v>
      </c>
      <c r="T21" s="86"/>
      <c r="U21" s="7">
        <f t="shared" si="7"/>
        <v>373.9729</v>
      </c>
      <c r="V21" s="7">
        <f t="shared" si="8"/>
        <v>587.6717</v>
      </c>
      <c r="W21" s="7">
        <f t="shared" si="9"/>
        <v>942.4669</v>
      </c>
      <c r="X21" s="7">
        <f t="shared" si="10"/>
        <v>5000.0031</v>
      </c>
    </row>
    <row r="22" s="31" customFormat="1" ht="48.75" customHeight="1" spans="1:24">
      <c r="A22" s="43">
        <v>17</v>
      </c>
      <c r="B22" s="44" t="s">
        <v>52</v>
      </c>
      <c r="C22" s="45"/>
      <c r="D22" s="46" t="s">
        <v>47</v>
      </c>
      <c r="E22" s="52">
        <v>5342.47</v>
      </c>
      <c r="F22" s="47">
        <v>30</v>
      </c>
      <c r="G22" s="7">
        <f t="shared" si="2"/>
        <v>178.082333333333</v>
      </c>
      <c r="H22" s="48">
        <f t="shared" si="3"/>
        <v>5342.47</v>
      </c>
      <c r="I22" s="7">
        <v>600</v>
      </c>
      <c r="J22" s="78"/>
      <c r="K22" s="76"/>
      <c r="L22" s="77"/>
      <c r="M22" s="77"/>
      <c r="N22" s="77"/>
      <c r="O22" s="77">
        <f t="shared" si="4"/>
        <v>0</v>
      </c>
      <c r="P22" s="77"/>
      <c r="Q22" s="7">
        <f t="shared" si="1"/>
        <v>5942.47</v>
      </c>
      <c r="R22" s="7">
        <f t="shared" si="5"/>
        <v>5342.47</v>
      </c>
      <c r="S22" s="97">
        <f t="shared" si="6"/>
        <v>568.494</v>
      </c>
      <c r="T22" s="77"/>
      <c r="U22" s="7">
        <f t="shared" si="7"/>
        <v>373.9729</v>
      </c>
      <c r="V22" s="7">
        <f t="shared" si="8"/>
        <v>587.6717</v>
      </c>
      <c r="W22" s="7">
        <f t="shared" si="9"/>
        <v>942.4669</v>
      </c>
      <c r="X22" s="7">
        <f t="shared" si="10"/>
        <v>5000.0031</v>
      </c>
    </row>
    <row r="23" s="31" customFormat="1" ht="48.75" customHeight="1" spans="1:24">
      <c r="A23" s="43">
        <v>18</v>
      </c>
      <c r="B23" s="44" t="s">
        <v>53</v>
      </c>
      <c r="C23" s="45"/>
      <c r="D23" s="46" t="s">
        <v>47</v>
      </c>
      <c r="E23" s="52">
        <v>5342.47</v>
      </c>
      <c r="F23" s="47">
        <v>30</v>
      </c>
      <c r="G23" s="7">
        <f t="shared" si="2"/>
        <v>178.082333333333</v>
      </c>
      <c r="H23" s="48">
        <f t="shared" si="3"/>
        <v>5342.47</v>
      </c>
      <c r="I23" s="7">
        <v>600</v>
      </c>
      <c r="J23" s="78"/>
      <c r="K23" s="76"/>
      <c r="L23" s="77"/>
      <c r="M23" s="77"/>
      <c r="N23" s="77"/>
      <c r="O23" s="77">
        <f t="shared" si="4"/>
        <v>0</v>
      </c>
      <c r="P23" s="77"/>
      <c r="Q23" s="7">
        <f t="shared" si="1"/>
        <v>5942.47</v>
      </c>
      <c r="R23" s="7">
        <f t="shared" si="5"/>
        <v>5342.47</v>
      </c>
      <c r="S23" s="97">
        <f t="shared" si="6"/>
        <v>568.494</v>
      </c>
      <c r="T23" s="77"/>
      <c r="U23" s="7">
        <f t="shared" si="7"/>
        <v>373.9729</v>
      </c>
      <c r="V23" s="7">
        <f t="shared" si="8"/>
        <v>587.6717</v>
      </c>
      <c r="W23" s="7">
        <f t="shared" si="9"/>
        <v>942.4669</v>
      </c>
      <c r="X23" s="7">
        <f t="shared" si="10"/>
        <v>5000.0031</v>
      </c>
    </row>
    <row r="24" s="31" customFormat="1" ht="48" customHeight="1" spans="1:24">
      <c r="A24" s="43">
        <v>19</v>
      </c>
      <c r="B24" s="44" t="s">
        <v>54</v>
      </c>
      <c r="C24" s="45"/>
      <c r="D24" s="46" t="s">
        <v>47</v>
      </c>
      <c r="E24" s="52">
        <v>6712.33</v>
      </c>
      <c r="F24" s="47">
        <v>30</v>
      </c>
      <c r="G24" s="7">
        <f t="shared" si="2"/>
        <v>223.744333333333</v>
      </c>
      <c r="H24" s="48">
        <f t="shared" si="3"/>
        <v>6712.33</v>
      </c>
      <c r="I24" s="7">
        <v>600</v>
      </c>
      <c r="J24" s="78"/>
      <c r="K24" s="76"/>
      <c r="L24" s="77"/>
      <c r="M24" s="77"/>
      <c r="N24" s="77"/>
      <c r="O24" s="77">
        <f t="shared" si="4"/>
        <v>0</v>
      </c>
      <c r="P24" s="77"/>
      <c r="Q24" s="7">
        <f t="shared" si="1"/>
        <v>7312.33</v>
      </c>
      <c r="R24" s="7">
        <f t="shared" si="5"/>
        <v>6712.33</v>
      </c>
      <c r="S24" s="97">
        <f t="shared" si="6"/>
        <v>842.466</v>
      </c>
      <c r="T24" s="77"/>
      <c r="U24" s="7">
        <f t="shared" si="7"/>
        <v>469.8631</v>
      </c>
      <c r="V24" s="7">
        <f t="shared" si="8"/>
        <v>738.3563</v>
      </c>
      <c r="W24" s="7">
        <f t="shared" si="9"/>
        <v>1312.3291</v>
      </c>
      <c r="X24" s="7">
        <f t="shared" si="10"/>
        <v>6000.0009</v>
      </c>
    </row>
    <row r="25" s="31" customFormat="1" ht="50.25" customHeight="1" spans="1:24">
      <c r="A25" s="43">
        <v>20</v>
      </c>
      <c r="B25" s="44" t="s">
        <v>55</v>
      </c>
      <c r="C25" s="49"/>
      <c r="D25" s="50" t="s">
        <v>47</v>
      </c>
      <c r="E25" s="52">
        <v>6712.33</v>
      </c>
      <c r="F25" s="47">
        <v>30</v>
      </c>
      <c r="G25" s="7">
        <f t="shared" si="2"/>
        <v>223.744333333333</v>
      </c>
      <c r="H25" s="48">
        <f t="shared" si="3"/>
        <v>6712.33</v>
      </c>
      <c r="I25" s="7">
        <v>600</v>
      </c>
      <c r="J25" s="78"/>
      <c r="K25" s="76"/>
      <c r="L25" s="77"/>
      <c r="M25" s="77"/>
      <c r="N25" s="77"/>
      <c r="O25" s="77">
        <f t="shared" si="4"/>
        <v>0</v>
      </c>
      <c r="P25" s="77"/>
      <c r="Q25" s="7">
        <f t="shared" si="1"/>
        <v>7312.33</v>
      </c>
      <c r="R25" s="7">
        <f t="shared" si="5"/>
        <v>6712.33</v>
      </c>
      <c r="S25" s="97">
        <f t="shared" si="6"/>
        <v>842.466</v>
      </c>
      <c r="T25" s="77"/>
      <c r="U25" s="7">
        <f t="shared" si="7"/>
        <v>469.8631</v>
      </c>
      <c r="V25" s="7">
        <f t="shared" si="8"/>
        <v>738.3563</v>
      </c>
      <c r="W25" s="7">
        <f t="shared" si="9"/>
        <v>1312.3291</v>
      </c>
      <c r="X25" s="7">
        <f t="shared" si="10"/>
        <v>6000.0009</v>
      </c>
    </row>
    <row r="26" s="31" customFormat="1" ht="55.5" customHeight="1" spans="1:24">
      <c r="A26" s="43">
        <v>21</v>
      </c>
      <c r="B26" s="44" t="s">
        <v>56</v>
      </c>
      <c r="C26" s="49"/>
      <c r="D26" s="50" t="s">
        <v>47</v>
      </c>
      <c r="E26" s="6">
        <v>6712.33</v>
      </c>
      <c r="F26" s="47">
        <v>30</v>
      </c>
      <c r="G26" s="7">
        <f t="shared" si="2"/>
        <v>223.744333333333</v>
      </c>
      <c r="H26" s="48">
        <f t="shared" si="3"/>
        <v>6712.33</v>
      </c>
      <c r="I26" s="7">
        <v>600</v>
      </c>
      <c r="J26" s="78"/>
      <c r="K26" s="76"/>
      <c r="L26" s="77"/>
      <c r="M26" s="77"/>
      <c r="N26" s="77"/>
      <c r="O26" s="77">
        <f t="shared" si="4"/>
        <v>0</v>
      </c>
      <c r="P26" s="77"/>
      <c r="Q26" s="7">
        <f t="shared" si="1"/>
        <v>7312.33</v>
      </c>
      <c r="R26" s="7">
        <f t="shared" si="5"/>
        <v>6712.33</v>
      </c>
      <c r="S26" s="97">
        <f t="shared" si="6"/>
        <v>842.466</v>
      </c>
      <c r="T26" s="77"/>
      <c r="U26" s="7">
        <f t="shared" si="7"/>
        <v>469.8631</v>
      </c>
      <c r="V26" s="7">
        <f t="shared" si="8"/>
        <v>738.3563</v>
      </c>
      <c r="W26" s="7">
        <f t="shared" si="9"/>
        <v>1312.3291</v>
      </c>
      <c r="X26" s="7">
        <f t="shared" si="10"/>
        <v>6000.0009</v>
      </c>
    </row>
    <row r="27" s="31" customFormat="1" ht="54" customHeight="1" spans="1:24">
      <c r="A27" s="43">
        <v>22</v>
      </c>
      <c r="B27" s="53" t="s">
        <v>57</v>
      </c>
      <c r="C27" s="58"/>
      <c r="D27" s="59" t="s">
        <v>47</v>
      </c>
      <c r="E27" s="56">
        <v>4520.55</v>
      </c>
      <c r="F27" s="57">
        <v>30</v>
      </c>
      <c r="G27" s="7">
        <f t="shared" si="2"/>
        <v>150.685</v>
      </c>
      <c r="H27" s="48">
        <f t="shared" si="3"/>
        <v>4520.55</v>
      </c>
      <c r="I27" s="83">
        <v>600</v>
      </c>
      <c r="J27" s="84"/>
      <c r="K27" s="85"/>
      <c r="L27" s="86"/>
      <c r="M27" s="86"/>
      <c r="N27" s="86"/>
      <c r="O27" s="77">
        <f t="shared" si="4"/>
        <v>0</v>
      </c>
      <c r="P27" s="86">
        <v>2000</v>
      </c>
      <c r="Q27" s="7">
        <f t="shared" si="1"/>
        <v>7120.55</v>
      </c>
      <c r="R27" s="7">
        <f t="shared" si="5"/>
        <v>6520.55</v>
      </c>
      <c r="S27" s="97">
        <f t="shared" si="6"/>
        <v>804.11</v>
      </c>
      <c r="T27" s="86"/>
      <c r="U27" s="7">
        <f t="shared" si="7"/>
        <v>316.4385</v>
      </c>
      <c r="V27" s="7">
        <f t="shared" si="8"/>
        <v>497.2605</v>
      </c>
      <c r="W27" s="7">
        <f t="shared" si="9"/>
        <v>1120.5485</v>
      </c>
      <c r="X27" s="7">
        <f t="shared" si="10"/>
        <v>6000.0015</v>
      </c>
    </row>
    <row r="28" s="31" customFormat="1" ht="45.75" customHeight="1" spans="1:24">
      <c r="A28" s="43">
        <v>23</v>
      </c>
      <c r="B28" s="44" t="s">
        <v>58</v>
      </c>
      <c r="C28" s="45"/>
      <c r="D28" s="46" t="s">
        <v>47</v>
      </c>
      <c r="E28" s="6">
        <v>6712.33</v>
      </c>
      <c r="F28" s="47">
        <v>30</v>
      </c>
      <c r="G28" s="7">
        <f t="shared" si="2"/>
        <v>223.744333333333</v>
      </c>
      <c r="H28" s="48">
        <f t="shared" si="3"/>
        <v>6712.33</v>
      </c>
      <c r="I28" s="7">
        <v>600</v>
      </c>
      <c r="J28" s="78"/>
      <c r="K28" s="76"/>
      <c r="L28" s="77"/>
      <c r="M28" s="77"/>
      <c r="N28" s="77"/>
      <c r="O28" s="77">
        <f t="shared" si="4"/>
        <v>0</v>
      </c>
      <c r="P28" s="77"/>
      <c r="Q28" s="7">
        <f t="shared" si="1"/>
        <v>7312.33</v>
      </c>
      <c r="R28" s="7">
        <f t="shared" si="5"/>
        <v>6712.33</v>
      </c>
      <c r="S28" s="97">
        <f t="shared" si="6"/>
        <v>842.466</v>
      </c>
      <c r="T28" s="77"/>
      <c r="U28" s="7">
        <f t="shared" si="7"/>
        <v>469.8631</v>
      </c>
      <c r="V28" s="7">
        <f t="shared" si="8"/>
        <v>738.3563</v>
      </c>
      <c r="W28" s="7">
        <f t="shared" si="9"/>
        <v>1312.3291</v>
      </c>
      <c r="X28" s="7">
        <f t="shared" si="10"/>
        <v>6000.0009</v>
      </c>
    </row>
    <row r="29" s="31" customFormat="1" ht="39.75" customHeight="1" spans="1:24">
      <c r="A29" s="43">
        <v>24</v>
      </c>
      <c r="B29" s="44" t="s">
        <v>59</v>
      </c>
      <c r="C29" s="45"/>
      <c r="D29" s="46" t="s">
        <v>47</v>
      </c>
      <c r="E29" s="6">
        <v>5955.88</v>
      </c>
      <c r="F29" s="47">
        <v>30</v>
      </c>
      <c r="G29" s="7">
        <f t="shared" si="2"/>
        <v>198.529333333333</v>
      </c>
      <c r="H29" s="48">
        <f t="shared" si="3"/>
        <v>5955.88</v>
      </c>
      <c r="I29" s="7">
        <v>600</v>
      </c>
      <c r="J29" s="78"/>
      <c r="K29" s="87"/>
      <c r="L29" s="77"/>
      <c r="M29" s="77"/>
      <c r="N29" s="77"/>
      <c r="O29" s="77">
        <f t="shared" si="4"/>
        <v>0</v>
      </c>
      <c r="P29" s="77">
        <v>2000</v>
      </c>
      <c r="Q29" s="7">
        <f t="shared" si="1"/>
        <v>8555.88</v>
      </c>
      <c r="R29" s="7">
        <f t="shared" si="5"/>
        <v>7955.88</v>
      </c>
      <c r="S29" s="97">
        <f t="shared" si="6"/>
        <v>1138.97</v>
      </c>
      <c r="T29" s="77"/>
      <c r="U29" s="7">
        <f t="shared" si="7"/>
        <v>416.9116</v>
      </c>
      <c r="V29" s="7">
        <f t="shared" si="8"/>
        <v>655.1468</v>
      </c>
      <c r="W29" s="7">
        <f t="shared" si="9"/>
        <v>1555.8816</v>
      </c>
      <c r="X29" s="7">
        <f t="shared" si="10"/>
        <v>6999.9984</v>
      </c>
    </row>
    <row r="30" s="31" customFormat="1" ht="66.75" customHeight="1" spans="1:24">
      <c r="A30" s="43">
        <v>25</v>
      </c>
      <c r="B30" s="53" t="s">
        <v>60</v>
      </c>
      <c r="C30" s="58"/>
      <c r="D30" s="59" t="s">
        <v>61</v>
      </c>
      <c r="E30" s="56">
        <v>6713</v>
      </c>
      <c r="F30" s="57">
        <v>30</v>
      </c>
      <c r="G30" s="7">
        <f t="shared" si="2"/>
        <v>223.766666666667</v>
      </c>
      <c r="H30" s="48">
        <f t="shared" si="3"/>
        <v>6713</v>
      </c>
      <c r="I30" s="83">
        <v>600</v>
      </c>
      <c r="J30" s="84"/>
      <c r="K30" s="88"/>
      <c r="L30" s="86"/>
      <c r="M30" s="86"/>
      <c r="N30" s="86"/>
      <c r="O30" s="77">
        <f t="shared" si="4"/>
        <v>0</v>
      </c>
      <c r="P30" s="86"/>
      <c r="Q30" s="7">
        <f t="shared" si="1"/>
        <v>7313</v>
      </c>
      <c r="R30" s="7">
        <f t="shared" si="5"/>
        <v>6713</v>
      </c>
      <c r="S30" s="97">
        <f t="shared" si="6"/>
        <v>842.6</v>
      </c>
      <c r="T30" s="86"/>
      <c r="U30" s="7">
        <f t="shared" si="7"/>
        <v>469.91</v>
      </c>
      <c r="V30" s="7">
        <f t="shared" si="8"/>
        <v>738.43</v>
      </c>
      <c r="W30" s="7">
        <f t="shared" si="9"/>
        <v>1312.51</v>
      </c>
      <c r="X30" s="7">
        <f t="shared" si="10"/>
        <v>6000.49</v>
      </c>
    </row>
    <row r="31" s="31" customFormat="1" ht="61.5" customHeight="1" spans="1:24">
      <c r="A31" s="43">
        <v>26</v>
      </c>
      <c r="B31" s="53" t="s">
        <v>62</v>
      </c>
      <c r="C31" s="58"/>
      <c r="D31" s="59" t="s">
        <v>61</v>
      </c>
      <c r="E31" s="56">
        <v>851.61</v>
      </c>
      <c r="F31" s="57">
        <v>30</v>
      </c>
      <c r="G31" s="7">
        <f t="shared" si="2"/>
        <v>28.387</v>
      </c>
      <c r="H31" s="48">
        <f t="shared" si="3"/>
        <v>851.61</v>
      </c>
      <c r="I31" s="83">
        <v>600</v>
      </c>
      <c r="J31" s="84"/>
      <c r="K31" s="85"/>
      <c r="L31" s="86"/>
      <c r="M31" s="86"/>
      <c r="N31" s="86"/>
      <c r="O31" s="77">
        <f t="shared" si="4"/>
        <v>0</v>
      </c>
      <c r="P31" s="86"/>
      <c r="Q31" s="7">
        <f t="shared" si="1"/>
        <v>1451.61</v>
      </c>
      <c r="R31" s="7">
        <f t="shared" si="5"/>
        <v>851.61</v>
      </c>
      <c r="S31" s="97">
        <f t="shared" si="6"/>
        <v>0</v>
      </c>
      <c r="T31" s="86"/>
      <c r="U31" s="7">
        <f t="shared" si="7"/>
        <v>59.6127</v>
      </c>
      <c r="V31" s="7">
        <f t="shared" si="8"/>
        <v>93.6771</v>
      </c>
      <c r="W31" s="7">
        <f t="shared" si="9"/>
        <v>59.6127</v>
      </c>
      <c r="X31" s="7">
        <f t="shared" si="10"/>
        <v>1391.9973</v>
      </c>
    </row>
    <row r="32" s="31" customFormat="1" ht="65.25" customHeight="1" spans="1:24">
      <c r="A32" s="43">
        <v>27</v>
      </c>
      <c r="B32" s="53" t="s">
        <v>63</v>
      </c>
      <c r="C32" s="45"/>
      <c r="D32" s="59" t="s">
        <v>47</v>
      </c>
      <c r="E32" s="56">
        <v>6712.33</v>
      </c>
      <c r="F32" s="57">
        <v>30</v>
      </c>
      <c r="G32" s="7">
        <f t="shared" si="2"/>
        <v>223.744333333333</v>
      </c>
      <c r="H32" s="48">
        <f t="shared" si="3"/>
        <v>6712.33</v>
      </c>
      <c r="I32" s="83">
        <v>600</v>
      </c>
      <c r="J32" s="84"/>
      <c r="K32" s="85"/>
      <c r="L32" s="86"/>
      <c r="M32" s="86"/>
      <c r="N32" s="86"/>
      <c r="O32" s="77">
        <f t="shared" si="4"/>
        <v>0</v>
      </c>
      <c r="P32" s="86"/>
      <c r="Q32" s="7">
        <f t="shared" si="1"/>
        <v>7312.33</v>
      </c>
      <c r="R32" s="7">
        <f t="shared" si="5"/>
        <v>6712.33</v>
      </c>
      <c r="S32" s="97">
        <f t="shared" si="6"/>
        <v>842.466</v>
      </c>
      <c r="T32" s="86"/>
      <c r="U32" s="7">
        <f t="shared" si="7"/>
        <v>469.8631</v>
      </c>
      <c r="V32" s="7">
        <f t="shared" si="8"/>
        <v>738.3563</v>
      </c>
      <c r="W32" s="7">
        <f t="shared" si="9"/>
        <v>1312.3291</v>
      </c>
      <c r="X32" s="7">
        <f t="shared" si="10"/>
        <v>6000.0009</v>
      </c>
    </row>
    <row r="33" s="31" customFormat="1" ht="42" customHeight="1" spans="1:24">
      <c r="A33" s="43">
        <v>28</v>
      </c>
      <c r="B33" s="53" t="s">
        <v>64</v>
      </c>
      <c r="C33" s="58"/>
      <c r="D33" s="59" t="s">
        <v>61</v>
      </c>
      <c r="E33" s="56">
        <v>7739.71</v>
      </c>
      <c r="F33" s="57">
        <v>30</v>
      </c>
      <c r="G33" s="7">
        <f t="shared" si="2"/>
        <v>257.990333333333</v>
      </c>
      <c r="H33" s="48">
        <f t="shared" si="3"/>
        <v>7739.71</v>
      </c>
      <c r="I33" s="83">
        <v>600</v>
      </c>
      <c r="J33" s="84"/>
      <c r="K33" s="85"/>
      <c r="L33" s="86"/>
      <c r="M33" s="86"/>
      <c r="N33" s="86"/>
      <c r="O33" s="77">
        <f t="shared" si="4"/>
        <v>0</v>
      </c>
      <c r="P33" s="86"/>
      <c r="Q33" s="7">
        <f t="shared" si="1"/>
        <v>8339.71</v>
      </c>
      <c r="R33" s="7">
        <f t="shared" si="5"/>
        <v>7739.71</v>
      </c>
      <c r="S33" s="97">
        <f t="shared" si="6"/>
        <v>1084.9275</v>
      </c>
      <c r="T33" s="86"/>
      <c r="U33" s="7">
        <f t="shared" si="7"/>
        <v>541.7797</v>
      </c>
      <c r="V33" s="7">
        <f t="shared" si="8"/>
        <v>851.3681</v>
      </c>
      <c r="W33" s="7">
        <f t="shared" si="9"/>
        <v>1626.7072</v>
      </c>
      <c r="X33" s="7">
        <f t="shared" si="10"/>
        <v>6713.0028</v>
      </c>
    </row>
    <row r="34" s="31" customFormat="1" ht="59.25" customHeight="1" spans="1:24">
      <c r="A34" s="43">
        <v>29</v>
      </c>
      <c r="B34" s="44" t="s">
        <v>65</v>
      </c>
      <c r="C34" s="45"/>
      <c r="D34" s="46" t="s">
        <v>66</v>
      </c>
      <c r="E34" s="6">
        <v>29913.8</v>
      </c>
      <c r="F34" s="47">
        <v>30</v>
      </c>
      <c r="G34" s="7">
        <f t="shared" si="2"/>
        <v>997.126666666667</v>
      </c>
      <c r="H34" s="48">
        <f t="shared" si="3"/>
        <v>29913.8</v>
      </c>
      <c r="I34" s="7">
        <v>600</v>
      </c>
      <c r="J34" s="78"/>
      <c r="K34" s="76"/>
      <c r="L34" s="77"/>
      <c r="M34" s="77"/>
      <c r="N34" s="77"/>
      <c r="O34" s="77">
        <f t="shared" si="4"/>
        <v>0</v>
      </c>
      <c r="P34" s="77"/>
      <c r="Q34" s="7">
        <f t="shared" si="1"/>
        <v>30513.8</v>
      </c>
      <c r="R34" s="7">
        <f t="shared" si="5"/>
        <v>29913.8</v>
      </c>
      <c r="S34" s="97">
        <f t="shared" si="6"/>
        <v>8419.83</v>
      </c>
      <c r="T34" s="77"/>
      <c r="U34" s="7">
        <f t="shared" si="7"/>
        <v>2093.966</v>
      </c>
      <c r="V34" s="7">
        <f t="shared" si="8"/>
        <v>3290.518</v>
      </c>
      <c r="W34" s="7">
        <f t="shared" si="9"/>
        <v>10513.796</v>
      </c>
      <c r="X34" s="7">
        <f t="shared" si="10"/>
        <v>20000.004</v>
      </c>
    </row>
    <row r="35" s="31" customFormat="1" ht="48" customHeight="1" spans="1:24">
      <c r="A35" s="43">
        <v>30</v>
      </c>
      <c r="B35" s="44" t="s">
        <v>67</v>
      </c>
      <c r="C35" s="45"/>
      <c r="D35" s="46" t="s">
        <v>66</v>
      </c>
      <c r="E35" s="6">
        <v>12777.78</v>
      </c>
      <c r="F35" s="47">
        <v>30</v>
      </c>
      <c r="G35" s="7">
        <f t="shared" si="2"/>
        <v>425.926</v>
      </c>
      <c r="H35" s="48">
        <f t="shared" si="3"/>
        <v>12777.78</v>
      </c>
      <c r="I35" s="7">
        <v>600</v>
      </c>
      <c r="J35" s="78"/>
      <c r="K35" s="76"/>
      <c r="L35" s="77"/>
      <c r="M35" s="77"/>
      <c r="N35" s="77"/>
      <c r="O35" s="77">
        <f t="shared" si="4"/>
        <v>0</v>
      </c>
      <c r="P35" s="77"/>
      <c r="Q35" s="7">
        <f t="shared" si="1"/>
        <v>13377.78</v>
      </c>
      <c r="R35" s="7">
        <f t="shared" si="5"/>
        <v>12777.78</v>
      </c>
      <c r="S35" s="97">
        <f t="shared" si="6"/>
        <v>2483.334</v>
      </c>
      <c r="T35" s="77"/>
      <c r="U35" s="7">
        <f t="shared" si="7"/>
        <v>894.4446</v>
      </c>
      <c r="V35" s="7">
        <f t="shared" si="8"/>
        <v>1405.5558</v>
      </c>
      <c r="W35" s="7">
        <f t="shared" si="9"/>
        <v>3377.7786</v>
      </c>
      <c r="X35" s="7">
        <f t="shared" si="10"/>
        <v>10000.0014</v>
      </c>
    </row>
    <row r="36" s="31" customFormat="1" ht="48" customHeight="1" spans="1:24">
      <c r="A36" s="60">
        <v>31</v>
      </c>
      <c r="B36" s="53" t="s">
        <v>68</v>
      </c>
      <c r="C36" s="58"/>
      <c r="D36" s="59" t="s">
        <v>66</v>
      </c>
      <c r="E36" s="56">
        <v>4657.54</v>
      </c>
      <c r="F36" s="47">
        <v>30</v>
      </c>
      <c r="G36" s="7">
        <f t="shared" si="2"/>
        <v>155.251333333333</v>
      </c>
      <c r="H36" s="48">
        <f t="shared" si="3"/>
        <v>4657.54</v>
      </c>
      <c r="I36" s="83">
        <v>600</v>
      </c>
      <c r="J36" s="84"/>
      <c r="K36" s="85"/>
      <c r="L36" s="86"/>
      <c r="M36" s="86"/>
      <c r="N36" s="86"/>
      <c r="O36" s="77">
        <f t="shared" si="4"/>
        <v>0</v>
      </c>
      <c r="P36" s="86"/>
      <c r="Q36" s="7">
        <f t="shared" si="1"/>
        <v>5257.54</v>
      </c>
      <c r="R36" s="7">
        <f t="shared" si="5"/>
        <v>4657.54</v>
      </c>
      <c r="S36" s="97">
        <f t="shared" si="6"/>
        <v>431.508</v>
      </c>
      <c r="T36" s="86"/>
      <c r="U36" s="7">
        <f t="shared" ref="U36:U46" si="11">+H36*0.07</f>
        <v>326.0278</v>
      </c>
      <c r="V36" s="7">
        <f t="shared" ref="V36:V46" si="12">+H36*0.11</f>
        <v>512.3294</v>
      </c>
      <c r="W36" s="7">
        <f t="shared" si="9"/>
        <v>757.5358</v>
      </c>
      <c r="X36" s="7">
        <f t="shared" si="10"/>
        <v>4500.0042</v>
      </c>
    </row>
    <row r="37" s="31" customFormat="1" ht="48" customHeight="1" spans="1:24">
      <c r="A37" s="60">
        <v>32</v>
      </c>
      <c r="B37" s="53" t="s">
        <v>69</v>
      </c>
      <c r="C37" s="58"/>
      <c r="D37" s="59" t="s">
        <v>66</v>
      </c>
      <c r="E37" s="56">
        <v>6027.4</v>
      </c>
      <c r="F37" s="57">
        <v>30</v>
      </c>
      <c r="G37" s="7">
        <f t="shared" ref="G37:G46" si="13">E37/30</f>
        <v>200.913333333333</v>
      </c>
      <c r="H37" s="48">
        <f t="shared" si="3"/>
        <v>6027.4</v>
      </c>
      <c r="I37" s="83">
        <v>600</v>
      </c>
      <c r="J37" s="84"/>
      <c r="K37" s="85"/>
      <c r="L37" s="86"/>
      <c r="M37" s="86"/>
      <c r="N37" s="86"/>
      <c r="O37" s="77">
        <f t="shared" ref="O37:O45" si="14">G37/8*1.5*K37+G37/8*L37*2+G37/8*2.5*M37</f>
        <v>0</v>
      </c>
      <c r="P37" s="86"/>
      <c r="Q37" s="7">
        <f t="shared" si="1"/>
        <v>6627.4</v>
      </c>
      <c r="R37" s="7">
        <f t="shared" ref="R37:R46" si="15">H37+J37+O37+P37</f>
        <v>6027.4</v>
      </c>
      <c r="S37" s="97">
        <f t="shared" si="6"/>
        <v>705.48</v>
      </c>
      <c r="T37" s="86"/>
      <c r="U37" s="7">
        <f t="shared" si="11"/>
        <v>421.918</v>
      </c>
      <c r="V37" s="7">
        <f t="shared" si="12"/>
        <v>663.014</v>
      </c>
      <c r="W37" s="7">
        <f t="shared" ref="W37:W46" si="16">+S37+T37+U37</f>
        <v>1127.398</v>
      </c>
      <c r="X37" s="7">
        <f t="shared" ref="X37:X46" si="17">+Q37-W37</f>
        <v>5500.002</v>
      </c>
    </row>
    <row r="38" s="31" customFormat="1" ht="48" customHeight="1" spans="1:24">
      <c r="A38" s="60">
        <v>33</v>
      </c>
      <c r="B38" s="53" t="s">
        <v>70</v>
      </c>
      <c r="C38" s="58"/>
      <c r="D38" s="59" t="s">
        <v>66</v>
      </c>
      <c r="E38" s="56">
        <v>6712.33</v>
      </c>
      <c r="F38" s="57">
        <v>30</v>
      </c>
      <c r="G38" s="7">
        <f t="shared" si="13"/>
        <v>223.744333333333</v>
      </c>
      <c r="H38" s="48">
        <f t="shared" ref="H38:H46" si="18">E38*F38/30</f>
        <v>6712.33</v>
      </c>
      <c r="I38" s="83">
        <v>600</v>
      </c>
      <c r="J38" s="84"/>
      <c r="K38" s="85"/>
      <c r="L38" s="86"/>
      <c r="M38" s="86"/>
      <c r="N38" s="86"/>
      <c r="O38" s="77">
        <f t="shared" si="14"/>
        <v>0</v>
      </c>
      <c r="P38" s="86"/>
      <c r="Q38" s="7">
        <f t="shared" si="1"/>
        <v>7312.33</v>
      </c>
      <c r="R38" s="7">
        <f t="shared" si="15"/>
        <v>6712.33</v>
      </c>
      <c r="S38" s="97">
        <f t="shared" si="6"/>
        <v>842.466</v>
      </c>
      <c r="T38" s="86"/>
      <c r="U38" s="7">
        <f t="shared" si="11"/>
        <v>469.8631</v>
      </c>
      <c r="V38" s="7">
        <f t="shared" si="12"/>
        <v>738.3563</v>
      </c>
      <c r="W38" s="7">
        <f t="shared" si="16"/>
        <v>1312.3291</v>
      </c>
      <c r="X38" s="7">
        <f t="shared" si="17"/>
        <v>6000.0009</v>
      </c>
    </row>
    <row r="39" s="31" customFormat="1" ht="48" customHeight="1" spans="1:24">
      <c r="A39" s="60">
        <v>34</v>
      </c>
      <c r="B39" s="53" t="s">
        <v>71</v>
      </c>
      <c r="C39" s="58"/>
      <c r="D39" s="59" t="s">
        <v>66</v>
      </c>
      <c r="E39" s="56">
        <v>6734.25</v>
      </c>
      <c r="F39" s="57">
        <v>30</v>
      </c>
      <c r="G39" s="7">
        <f t="shared" si="13"/>
        <v>224.475</v>
      </c>
      <c r="H39" s="48">
        <f t="shared" si="18"/>
        <v>6734.25</v>
      </c>
      <c r="I39" s="83">
        <v>600</v>
      </c>
      <c r="J39" s="84"/>
      <c r="K39" s="85"/>
      <c r="L39" s="86"/>
      <c r="M39" s="86"/>
      <c r="N39" s="86"/>
      <c r="O39" s="77">
        <f t="shared" si="14"/>
        <v>0</v>
      </c>
      <c r="P39" s="86"/>
      <c r="Q39" s="7">
        <f t="shared" si="1"/>
        <v>7334.25</v>
      </c>
      <c r="R39" s="7">
        <f t="shared" si="15"/>
        <v>6734.25</v>
      </c>
      <c r="S39" s="97">
        <f t="shared" si="6"/>
        <v>846.85</v>
      </c>
      <c r="T39" s="86"/>
      <c r="U39" s="7">
        <f t="shared" si="11"/>
        <v>471.3975</v>
      </c>
      <c r="V39" s="7">
        <f t="shared" si="12"/>
        <v>740.7675</v>
      </c>
      <c r="W39" s="7">
        <f t="shared" si="16"/>
        <v>1318.2475</v>
      </c>
      <c r="X39" s="7">
        <f t="shared" si="17"/>
        <v>6016.0025</v>
      </c>
    </row>
    <row r="40" s="31" customFormat="1" ht="48" customHeight="1" spans="1:24">
      <c r="A40" s="60">
        <v>35</v>
      </c>
      <c r="B40" s="53" t="s">
        <v>72</v>
      </c>
      <c r="C40" s="58"/>
      <c r="D40" s="59" t="s">
        <v>66</v>
      </c>
      <c r="E40" s="56">
        <v>7647.06</v>
      </c>
      <c r="F40" s="57">
        <v>30</v>
      </c>
      <c r="G40" s="7">
        <f t="shared" si="13"/>
        <v>254.902</v>
      </c>
      <c r="H40" s="48">
        <f t="shared" si="18"/>
        <v>7647.06</v>
      </c>
      <c r="I40" s="83">
        <v>600</v>
      </c>
      <c r="J40" s="84"/>
      <c r="K40" s="85"/>
      <c r="L40" s="86"/>
      <c r="M40" s="86"/>
      <c r="N40" s="86"/>
      <c r="O40" s="77">
        <f t="shared" si="14"/>
        <v>0</v>
      </c>
      <c r="P40" s="86"/>
      <c r="Q40" s="7">
        <f t="shared" si="1"/>
        <v>8247.06</v>
      </c>
      <c r="R40" s="7">
        <f t="shared" si="15"/>
        <v>7647.06</v>
      </c>
      <c r="S40" s="97">
        <f t="shared" si="6"/>
        <v>1061.765</v>
      </c>
      <c r="T40" s="86"/>
      <c r="U40" s="7">
        <f t="shared" si="11"/>
        <v>535.2942</v>
      </c>
      <c r="V40" s="7">
        <f t="shared" si="12"/>
        <v>841.1766</v>
      </c>
      <c r="W40" s="7">
        <f t="shared" si="16"/>
        <v>1597.0592</v>
      </c>
      <c r="X40" s="7">
        <f t="shared" si="17"/>
        <v>6650.0008</v>
      </c>
    </row>
    <row r="41" s="31" customFormat="1" ht="48" customHeight="1" spans="1:24">
      <c r="A41" s="60">
        <v>36</v>
      </c>
      <c r="B41" s="53" t="s">
        <v>73</v>
      </c>
      <c r="C41" s="58"/>
      <c r="D41" s="59" t="s">
        <v>66</v>
      </c>
      <c r="E41" s="56">
        <v>3974.36</v>
      </c>
      <c r="F41" s="57">
        <v>30</v>
      </c>
      <c r="G41" s="7">
        <f t="shared" si="13"/>
        <v>132.478666666667</v>
      </c>
      <c r="H41" s="48">
        <f t="shared" si="18"/>
        <v>3974.36</v>
      </c>
      <c r="I41" s="83">
        <v>600</v>
      </c>
      <c r="J41" s="84"/>
      <c r="K41" s="85"/>
      <c r="L41" s="86"/>
      <c r="M41" s="86"/>
      <c r="N41" s="86"/>
      <c r="O41" s="77">
        <f t="shared" si="14"/>
        <v>0</v>
      </c>
      <c r="P41" s="86"/>
      <c r="Q41" s="7">
        <f t="shared" si="1"/>
        <v>4574.36</v>
      </c>
      <c r="R41" s="7">
        <f t="shared" si="15"/>
        <v>3974.36</v>
      </c>
      <c r="S41" s="97">
        <f t="shared" si="6"/>
        <v>296.154</v>
      </c>
      <c r="T41" s="86"/>
      <c r="U41" s="7">
        <f t="shared" si="11"/>
        <v>278.2052</v>
      </c>
      <c r="V41" s="7">
        <f t="shared" si="12"/>
        <v>437.1796</v>
      </c>
      <c r="W41" s="7">
        <f t="shared" si="16"/>
        <v>574.3592</v>
      </c>
      <c r="X41" s="7">
        <f t="shared" si="17"/>
        <v>4000.0008</v>
      </c>
    </row>
    <row r="42" s="31" customFormat="1" ht="48" customHeight="1" spans="1:24">
      <c r="A42" s="60">
        <v>37</v>
      </c>
      <c r="B42" s="53" t="s">
        <v>74</v>
      </c>
      <c r="C42" s="58"/>
      <c r="D42" s="59" t="s">
        <v>66</v>
      </c>
      <c r="E42" s="56">
        <v>3717.95</v>
      </c>
      <c r="F42" s="57">
        <v>30</v>
      </c>
      <c r="G42" s="7">
        <f t="shared" si="13"/>
        <v>123.931666666667</v>
      </c>
      <c r="H42" s="48">
        <f t="shared" si="18"/>
        <v>3717.95</v>
      </c>
      <c r="I42" s="83">
        <v>600</v>
      </c>
      <c r="J42" s="84"/>
      <c r="K42" s="85"/>
      <c r="L42" s="86"/>
      <c r="M42" s="86"/>
      <c r="N42" s="86"/>
      <c r="O42" s="77">
        <f t="shared" si="14"/>
        <v>0</v>
      </c>
      <c r="P42" s="86"/>
      <c r="Q42" s="7">
        <f t="shared" si="1"/>
        <v>4317.95</v>
      </c>
      <c r="R42" s="7">
        <f t="shared" si="15"/>
        <v>3717.95</v>
      </c>
      <c r="S42" s="97">
        <f t="shared" si="6"/>
        <v>257.6925</v>
      </c>
      <c r="T42" s="86"/>
      <c r="U42" s="7">
        <f t="shared" si="11"/>
        <v>260.2565</v>
      </c>
      <c r="V42" s="7">
        <f t="shared" si="12"/>
        <v>408.9745</v>
      </c>
      <c r="W42" s="7">
        <f t="shared" si="16"/>
        <v>517.949</v>
      </c>
      <c r="X42" s="7">
        <f t="shared" si="17"/>
        <v>3800.001</v>
      </c>
    </row>
    <row r="43" s="31" customFormat="1" ht="48" customHeight="1" spans="1:24">
      <c r="A43" s="60">
        <v>38</v>
      </c>
      <c r="B43" s="53" t="s">
        <v>75</v>
      </c>
      <c r="C43" s="58"/>
      <c r="D43" s="59" t="s">
        <v>66</v>
      </c>
      <c r="E43" s="56">
        <v>3717.95</v>
      </c>
      <c r="F43" s="57">
        <v>30</v>
      </c>
      <c r="G43" s="7">
        <f t="shared" si="13"/>
        <v>123.931666666667</v>
      </c>
      <c r="H43" s="48">
        <f t="shared" si="18"/>
        <v>3717.95</v>
      </c>
      <c r="I43" s="83">
        <v>600</v>
      </c>
      <c r="J43" s="84"/>
      <c r="K43" s="85"/>
      <c r="L43" s="86"/>
      <c r="M43" s="86"/>
      <c r="N43" s="86"/>
      <c r="O43" s="77">
        <f t="shared" si="14"/>
        <v>0</v>
      </c>
      <c r="P43" s="86"/>
      <c r="Q43" s="7">
        <f t="shared" si="1"/>
        <v>4317.95</v>
      </c>
      <c r="R43" s="7">
        <f t="shared" si="15"/>
        <v>3717.95</v>
      </c>
      <c r="S43" s="97">
        <f t="shared" si="6"/>
        <v>257.6925</v>
      </c>
      <c r="T43" s="86"/>
      <c r="U43" s="7">
        <f t="shared" si="11"/>
        <v>260.2565</v>
      </c>
      <c r="V43" s="7">
        <f t="shared" si="12"/>
        <v>408.9745</v>
      </c>
      <c r="W43" s="7">
        <f t="shared" si="16"/>
        <v>517.949</v>
      </c>
      <c r="X43" s="7">
        <f t="shared" si="17"/>
        <v>3800.001</v>
      </c>
    </row>
    <row r="44" s="31" customFormat="1" ht="48" customHeight="1" spans="1:24">
      <c r="A44" s="60">
        <v>39</v>
      </c>
      <c r="B44" s="53" t="s">
        <v>76</v>
      </c>
      <c r="C44" s="58"/>
      <c r="D44" s="59" t="s">
        <v>66</v>
      </c>
      <c r="E44" s="56">
        <v>9632.35</v>
      </c>
      <c r="F44" s="57">
        <v>30</v>
      </c>
      <c r="G44" s="7">
        <f t="shared" si="13"/>
        <v>321.078333333333</v>
      </c>
      <c r="H44" s="48">
        <f t="shared" si="18"/>
        <v>9632.35</v>
      </c>
      <c r="I44" s="83">
        <v>600</v>
      </c>
      <c r="J44" s="84"/>
      <c r="K44" s="85"/>
      <c r="L44" s="86"/>
      <c r="M44" s="86"/>
      <c r="N44" s="86"/>
      <c r="O44" s="77">
        <f t="shared" si="14"/>
        <v>0</v>
      </c>
      <c r="P44" s="86"/>
      <c r="Q44" s="7">
        <f t="shared" si="1"/>
        <v>10232.35</v>
      </c>
      <c r="R44" s="7">
        <f t="shared" si="15"/>
        <v>9632.35</v>
      </c>
      <c r="S44" s="97">
        <f t="shared" si="6"/>
        <v>1558.0875</v>
      </c>
      <c r="T44" s="86"/>
      <c r="U44" s="7">
        <f t="shared" si="11"/>
        <v>674.2645</v>
      </c>
      <c r="V44" s="7">
        <f t="shared" si="12"/>
        <v>1059.5585</v>
      </c>
      <c r="W44" s="7">
        <f t="shared" si="16"/>
        <v>2232.352</v>
      </c>
      <c r="X44" s="7">
        <f t="shared" si="17"/>
        <v>7999.998</v>
      </c>
    </row>
    <row r="45" s="31" customFormat="1" ht="48" customHeight="1" spans="1:24">
      <c r="A45" s="60">
        <v>40</v>
      </c>
      <c r="B45" s="53" t="s">
        <v>77</v>
      </c>
      <c r="C45" s="58"/>
      <c r="D45" s="59" t="s">
        <v>66</v>
      </c>
      <c r="E45" s="56">
        <v>4886.3</v>
      </c>
      <c r="F45" s="57">
        <v>30</v>
      </c>
      <c r="G45" s="7">
        <f t="shared" si="13"/>
        <v>162.876666666667</v>
      </c>
      <c r="H45" s="48">
        <f t="shared" si="18"/>
        <v>4886.3</v>
      </c>
      <c r="I45" s="83">
        <v>600</v>
      </c>
      <c r="J45" s="84"/>
      <c r="K45" s="85"/>
      <c r="L45" s="86"/>
      <c r="M45" s="86"/>
      <c r="N45" s="86"/>
      <c r="O45" s="77">
        <f t="shared" si="14"/>
        <v>0</v>
      </c>
      <c r="P45" s="86"/>
      <c r="Q45" s="7">
        <f t="shared" si="1"/>
        <v>5486.3</v>
      </c>
      <c r="R45" s="7">
        <f t="shared" si="15"/>
        <v>4886.3</v>
      </c>
      <c r="S45" s="97">
        <f t="shared" si="6"/>
        <v>477.26</v>
      </c>
      <c r="T45" s="86"/>
      <c r="U45" s="7">
        <f t="shared" si="11"/>
        <v>342.041</v>
      </c>
      <c r="V45" s="7">
        <f t="shared" si="12"/>
        <v>537.493</v>
      </c>
      <c r="W45" s="7">
        <f t="shared" si="16"/>
        <v>819.301</v>
      </c>
      <c r="X45" s="7">
        <f t="shared" si="17"/>
        <v>4666.999</v>
      </c>
    </row>
    <row r="46" s="31" customFormat="1" ht="48" customHeight="1" spans="1:24">
      <c r="A46" s="60">
        <v>41</v>
      </c>
      <c r="B46" s="53" t="s">
        <v>78</v>
      </c>
      <c r="C46" s="58"/>
      <c r="D46" s="59" t="s">
        <v>79</v>
      </c>
      <c r="E46" s="61">
        <v>12777.78</v>
      </c>
      <c r="F46" s="57">
        <v>30</v>
      </c>
      <c r="G46" s="7">
        <f t="shared" si="13"/>
        <v>425.926</v>
      </c>
      <c r="H46" s="48">
        <f t="shared" si="18"/>
        <v>12777.78</v>
      </c>
      <c r="I46" s="83">
        <v>600</v>
      </c>
      <c r="J46" s="84"/>
      <c r="K46" s="85"/>
      <c r="L46" s="86"/>
      <c r="M46" s="86"/>
      <c r="N46" s="86"/>
      <c r="O46" s="86"/>
      <c r="P46" s="86"/>
      <c r="Q46" s="7">
        <f t="shared" si="1"/>
        <v>13377.78</v>
      </c>
      <c r="R46" s="7">
        <f t="shared" si="15"/>
        <v>12777.78</v>
      </c>
      <c r="S46" s="97">
        <f t="shared" si="6"/>
        <v>2483.334</v>
      </c>
      <c r="T46" s="86"/>
      <c r="U46" s="7">
        <f t="shared" si="11"/>
        <v>894.4446</v>
      </c>
      <c r="V46" s="7">
        <f t="shared" si="12"/>
        <v>1405.5558</v>
      </c>
      <c r="W46" s="7">
        <f>+S46+T46+U46</f>
        <v>3377.7786</v>
      </c>
      <c r="X46" s="7">
        <f t="shared" si="17"/>
        <v>10000.0014</v>
      </c>
    </row>
    <row r="47" s="32" customFormat="1" ht="48" customHeight="1" spans="1:24">
      <c r="A47" s="62" t="s">
        <v>80</v>
      </c>
      <c r="B47" s="63"/>
      <c r="C47" s="63"/>
      <c r="D47" s="63"/>
      <c r="E47" s="64">
        <f>+E45+E44+E43+E42+E41+E40+E39+E38+E37+E36+E35+E34+E33+E32+E31+E30+E29+E28+E27+E26+E25+E24+E23+E22+E21+E20+E19+E18+E17+E16+E15+E14+E13+E12+E11+E10+E9+E8+E7+E6</f>
        <v>394177.29</v>
      </c>
      <c r="F47" s="65"/>
      <c r="G47" s="65">
        <f>SUM(G6:G45)</f>
        <v>13139.243</v>
      </c>
      <c r="H47" s="65">
        <f>SUM(H6:H45)</f>
        <v>394177.29</v>
      </c>
      <c r="I47" s="65">
        <f>SUM(I6:I45)</f>
        <v>27200</v>
      </c>
      <c r="J47" s="89">
        <f>SUM(J6:J35)</f>
        <v>0</v>
      </c>
      <c r="K47" s="90">
        <f>SUM(K6:K35)</f>
        <v>0</v>
      </c>
      <c r="L47" s="65">
        <f>SUM(L6:L35)</f>
        <v>0</v>
      </c>
      <c r="M47" s="65">
        <f>SUM(M6:M35)</f>
        <v>0</v>
      </c>
      <c r="N47" s="65"/>
      <c r="O47" s="65">
        <f>SUM(O6:O35)</f>
        <v>0</v>
      </c>
      <c r="P47" s="65">
        <f>SUM(P6:P45)</f>
        <v>11000</v>
      </c>
      <c r="Q47" s="98">
        <f>SUM(Q6:Q45)</f>
        <v>432377.29</v>
      </c>
      <c r="R47" s="98">
        <f>SUM(R6:R45)</f>
        <v>405177.29</v>
      </c>
      <c r="S47" s="65">
        <f>SUM(S6:S45)</f>
        <v>80324.999</v>
      </c>
      <c r="T47" s="65">
        <f>SUM(T6:T35)</f>
        <v>0</v>
      </c>
      <c r="U47" s="65">
        <f>SUM(U6:U45)</f>
        <v>27592.4103</v>
      </c>
      <c r="V47" s="65">
        <f>SUM(V6:V45)</f>
        <v>43359.5019</v>
      </c>
      <c r="W47" s="65">
        <f>SUM(W6:W45)</f>
        <v>107917.4093</v>
      </c>
      <c r="X47" s="65">
        <f>SUM(X6:X45)</f>
        <v>324459.8807</v>
      </c>
    </row>
    <row r="48" s="33" customFormat="1" ht="34.5" customHeight="1" spans="1:24">
      <c r="A48" s="66" t="s">
        <v>81</v>
      </c>
      <c r="B48" s="66"/>
      <c r="C48" s="66"/>
      <c r="D48" s="66"/>
      <c r="E48" s="66"/>
      <c r="F48" s="67"/>
      <c r="G48" s="68"/>
      <c r="H48" s="68"/>
      <c r="I48" s="68"/>
      <c r="J48" s="91" t="s">
        <v>82</v>
      </c>
      <c r="K48" s="70"/>
      <c r="L48" s="92"/>
      <c r="M48" s="92"/>
      <c r="N48" s="92"/>
      <c r="O48" s="91"/>
      <c r="P48" s="91"/>
      <c r="Q48" s="91"/>
      <c r="R48" s="99" t="s">
        <v>83</v>
      </c>
      <c r="S48" s="99"/>
      <c r="T48" s="99"/>
      <c r="U48" s="99"/>
      <c r="V48" s="100"/>
      <c r="W48" s="100"/>
      <c r="X48" s="100"/>
    </row>
    <row r="49" s="33" customFormat="1" ht="30" customHeight="1" spans="1:24">
      <c r="A49" s="69"/>
      <c r="B49" s="69"/>
      <c r="C49" s="69"/>
      <c r="D49" s="69"/>
      <c r="E49" s="70"/>
      <c r="F49" s="71"/>
      <c r="G49" s="71"/>
      <c r="H49" s="71"/>
      <c r="I49" s="93"/>
      <c r="J49" s="93"/>
      <c r="K49" s="93"/>
      <c r="L49" s="70"/>
      <c r="M49" s="70"/>
      <c r="N49" s="70"/>
      <c r="O49" s="70"/>
      <c r="P49" s="70"/>
      <c r="Q49" s="70"/>
      <c r="R49" s="101"/>
      <c r="S49" s="102"/>
      <c r="T49" s="102"/>
      <c r="U49" s="71"/>
      <c r="V49" s="100"/>
      <c r="W49" s="100"/>
      <c r="X49" s="103"/>
    </row>
    <row r="50" s="33" customFormat="1" ht="18.75" customHeight="1" spans="1:23">
      <c r="A50" s="70"/>
      <c r="B50" s="70"/>
      <c r="C50" s="70"/>
      <c r="D50" s="70"/>
      <c r="E50" s="72"/>
      <c r="F50" s="70"/>
      <c r="G50" s="70"/>
      <c r="H50" s="72"/>
      <c r="I50" s="72"/>
      <c r="J50" s="72"/>
      <c r="K50" s="70"/>
      <c r="L50" s="70"/>
      <c r="M50" s="70"/>
      <c r="N50" s="70"/>
      <c r="O50" s="70"/>
      <c r="P50" s="70"/>
      <c r="Q50" s="71"/>
      <c r="R50" s="71"/>
      <c r="S50" s="71"/>
      <c r="T50" s="72"/>
      <c r="U50" s="100"/>
      <c r="V50" s="100"/>
      <c r="W50" s="103"/>
    </row>
    <row r="51" s="33" customFormat="1" ht="23.25" spans="1:21">
      <c r="A51" s="70"/>
      <c r="B51" s="70"/>
      <c r="C51" s="70"/>
      <c r="D51" s="70"/>
      <c r="E51" s="70"/>
      <c r="F51" s="70"/>
      <c r="G51" s="72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2"/>
      <c r="S51" s="70"/>
      <c r="T51" s="70"/>
      <c r="U51" s="70"/>
    </row>
    <row r="52" s="33" customFormat="1"/>
    <row r="53" s="33" customFormat="1" ht="23.25" spans="7:20">
      <c r="G53" s="73"/>
      <c r="I53" s="73"/>
      <c r="R53" s="73"/>
      <c r="T53" s="104"/>
    </row>
    <row r="54" s="33" customFormat="1"/>
    <row r="55" s="33" customFormat="1"/>
    <row r="56" s="33" customFormat="1" ht="30" customHeight="1"/>
    <row r="57" s="33" customFormat="1" ht="37.5" customHeight="1"/>
    <row r="58" s="33" customFormat="1" ht="33.75" customHeight="1"/>
    <row r="59" s="33" customFormat="1" ht="28.5" customHeight="1"/>
    <row r="60" s="33" customFormat="1" ht="31.5" customHeight="1"/>
    <row r="61" s="33" customFormat="1" ht="27.75" customHeight="1"/>
    <row r="62" s="33" customFormat="1" ht="33.75" customHeight="1"/>
    <row r="70" spans="8:12">
      <c r="H70" s="29"/>
      <c r="I70" s="29"/>
      <c r="J70" s="29"/>
      <c r="K70" s="29"/>
      <c r="L70" s="29"/>
    </row>
    <row r="71" spans="8:12">
      <c r="H71" s="29"/>
      <c r="I71" s="29"/>
      <c r="J71" s="29"/>
      <c r="K71" s="29"/>
      <c r="L71" s="29"/>
    </row>
  </sheetData>
  <mergeCells count="31">
    <mergeCell ref="A1:C1"/>
    <mergeCell ref="E1:W1"/>
    <mergeCell ref="A2:C2"/>
    <mergeCell ref="E2:W2"/>
    <mergeCell ref="K3:M3"/>
    <mergeCell ref="S3:U3"/>
    <mergeCell ref="A47:C47"/>
    <mergeCell ref="A48:E48"/>
    <mergeCell ref="O48:Q48"/>
    <mergeCell ref="R48:U48"/>
    <mergeCell ref="A49:D49"/>
    <mergeCell ref="R49:T49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N3:N4"/>
    <mergeCell ref="O3:O4"/>
    <mergeCell ref="P3:P4"/>
    <mergeCell ref="Q3:Q4"/>
    <mergeCell ref="R3:R4"/>
    <mergeCell ref="V3:V4"/>
    <mergeCell ref="W3:W4"/>
    <mergeCell ref="X1:X2"/>
    <mergeCell ref="X3:X4"/>
  </mergeCells>
  <pageMargins left="0.7" right="0.7" top="0.75" bottom="0.75" header="0.3" footer="0.3"/>
  <pageSetup paperSize="9" scale="35" orientation="landscape" horizontalDpi="360" verticalDpi="36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1"/>
  <sheetViews>
    <sheetView tabSelected="1" topLeftCell="A29" workbookViewId="0">
      <selection activeCell="C44" sqref="C44"/>
    </sheetView>
  </sheetViews>
  <sheetFormatPr defaultColWidth="9" defaultRowHeight="15"/>
  <cols>
    <col min="2" max="2" width="42.4285714285714" customWidth="1"/>
    <col min="3" max="3" width="27.2857142857143" customWidth="1"/>
    <col min="4" max="4" width="34.8571428571429" customWidth="1"/>
    <col min="5" max="5" width="10.5714285714286"/>
    <col min="6" max="6" width="17.4285714285714" customWidth="1"/>
    <col min="7" max="7" width="14.8571428571429" customWidth="1"/>
    <col min="8" max="8" width="17.1428571428571" customWidth="1"/>
    <col min="9" max="9" width="10.5714285714286" customWidth="1"/>
    <col min="11" max="11" width="10.5714285714286" customWidth="1"/>
  </cols>
  <sheetData>
    <row r="1" ht="18.75" spans="1:4">
      <c r="A1" s="1" t="s">
        <v>84</v>
      </c>
      <c r="B1" s="1"/>
      <c r="C1" s="1"/>
      <c r="D1" s="1"/>
    </row>
    <row r="2" ht="18.75" spans="1:4">
      <c r="A2" s="2" t="s">
        <v>85</v>
      </c>
      <c r="B2" s="2"/>
      <c r="C2" s="2"/>
      <c r="D2" s="2"/>
    </row>
    <row r="3" ht="18.75" spans="1:4">
      <c r="A3" s="3" t="s">
        <v>86</v>
      </c>
      <c r="B3" s="3" t="s">
        <v>87</v>
      </c>
      <c r="C3" s="3" t="s">
        <v>88</v>
      </c>
      <c r="D3" s="3" t="s">
        <v>89</v>
      </c>
    </row>
    <row r="4" ht="18.75" spans="1:4">
      <c r="A4" s="4">
        <v>1</v>
      </c>
      <c r="B4" s="5" t="s">
        <v>29</v>
      </c>
      <c r="C4" s="6">
        <f>+'Augest 2025'!X6</f>
        <v>12700.02</v>
      </c>
      <c r="D4" s="105" t="s">
        <v>90</v>
      </c>
    </row>
    <row r="5" ht="18.75" spans="1:4">
      <c r="A5" s="4">
        <f>+A4+1</f>
        <v>2</v>
      </c>
      <c r="B5" s="5" t="s">
        <v>31</v>
      </c>
      <c r="C5" s="6">
        <f>+'Augest 2025'!X7</f>
        <v>12700.02</v>
      </c>
      <c r="D5" s="105" t="s">
        <v>91</v>
      </c>
    </row>
    <row r="6" ht="18.75" spans="1:4">
      <c r="A6" s="4">
        <f>+A5+1</f>
        <v>3</v>
      </c>
      <c r="B6" s="5" t="s">
        <v>32</v>
      </c>
      <c r="C6" s="7">
        <f>+'Augest 2025'!X8</f>
        <v>13621.28</v>
      </c>
      <c r="D6" s="105" t="s">
        <v>92</v>
      </c>
    </row>
    <row r="7" ht="18.75" spans="1:4">
      <c r="A7" s="4">
        <f t="shared" ref="A7:A33" si="0">+A6+1</f>
        <v>4</v>
      </c>
      <c r="B7" s="8" t="s">
        <v>33</v>
      </c>
      <c r="C7" s="7">
        <f>+'Augest 2025'!X9</f>
        <v>13621.28</v>
      </c>
      <c r="D7" s="105" t="s">
        <v>93</v>
      </c>
    </row>
    <row r="8" ht="18.75" spans="1:4">
      <c r="A8" s="4">
        <f t="shared" si="0"/>
        <v>5</v>
      </c>
      <c r="B8" s="8" t="s">
        <v>35</v>
      </c>
      <c r="C8" s="7">
        <f>+'Augest 2025'!X10</f>
        <v>13621.28</v>
      </c>
      <c r="D8" s="105" t="s">
        <v>94</v>
      </c>
    </row>
    <row r="9" ht="18.75" spans="1:4">
      <c r="A9" s="4">
        <f t="shared" si="0"/>
        <v>6</v>
      </c>
      <c r="B9" s="5" t="s">
        <v>37</v>
      </c>
      <c r="C9" s="7">
        <f>+'Augest 2025'!X11</f>
        <v>31896.5</v>
      </c>
      <c r="D9" s="105" t="s">
        <v>95</v>
      </c>
    </row>
    <row r="10" ht="18.75" spans="1:4">
      <c r="A10" s="4">
        <f t="shared" si="0"/>
        <v>7</v>
      </c>
      <c r="B10" s="8" t="s">
        <v>39</v>
      </c>
      <c r="C10" s="7">
        <f>+'Augest 2025'!X12</f>
        <v>22241.4024</v>
      </c>
      <c r="D10" s="105" t="s">
        <v>96</v>
      </c>
    </row>
    <row r="11" ht="18.75" spans="1:4">
      <c r="A11" s="4">
        <f t="shared" si="0"/>
        <v>8</v>
      </c>
      <c r="B11" s="8" t="s">
        <v>40</v>
      </c>
      <c r="C11" s="7">
        <f>+'Augest 2025'!X13</f>
        <v>10230.1971</v>
      </c>
      <c r="D11" s="105" t="s">
        <v>97</v>
      </c>
    </row>
    <row r="12" ht="18.75" spans="1:4">
      <c r="A12" s="4">
        <f t="shared" si="0"/>
        <v>9</v>
      </c>
      <c r="B12" s="8" t="s">
        <v>41</v>
      </c>
      <c r="C12" s="6">
        <f>+'Augest 2025'!X14</f>
        <v>4697.513</v>
      </c>
      <c r="D12" s="105" t="s">
        <v>98</v>
      </c>
    </row>
    <row r="13" ht="18.75" spans="1:4">
      <c r="A13" s="4">
        <f t="shared" si="0"/>
        <v>10</v>
      </c>
      <c r="B13" s="8" t="s">
        <v>43</v>
      </c>
      <c r="C13" s="6">
        <f>+'Augest 2025'!X15</f>
        <v>4697.513</v>
      </c>
      <c r="D13" s="105" t="s">
        <v>99</v>
      </c>
    </row>
    <row r="14" ht="18.75" spans="1:4">
      <c r="A14" s="4">
        <f t="shared" si="0"/>
        <v>11</v>
      </c>
      <c r="B14" s="8" t="s">
        <v>45</v>
      </c>
      <c r="C14" s="7">
        <f>+'Augest 2025'!X16</f>
        <v>2894.3508</v>
      </c>
      <c r="D14" s="105" t="s">
        <v>100</v>
      </c>
    </row>
    <row r="15" ht="18.75" spans="1:4">
      <c r="A15" s="4">
        <f t="shared" si="0"/>
        <v>12</v>
      </c>
      <c r="B15" s="5" t="s">
        <v>46</v>
      </c>
      <c r="C15" s="7">
        <f>+'Augest 2025'!X17</f>
        <v>6999.9984</v>
      </c>
      <c r="D15" s="105" t="s">
        <v>101</v>
      </c>
    </row>
    <row r="16" ht="18.75" spans="1:4">
      <c r="A16" s="4">
        <f t="shared" si="0"/>
        <v>13</v>
      </c>
      <c r="B16" s="5" t="s">
        <v>48</v>
      </c>
      <c r="C16" s="7">
        <f>+'Augest 2025'!X18</f>
        <v>7500.0048</v>
      </c>
      <c r="D16" s="105" t="s">
        <v>102</v>
      </c>
    </row>
    <row r="17" ht="18.75" spans="1:4">
      <c r="A17" s="4">
        <f t="shared" si="0"/>
        <v>14</v>
      </c>
      <c r="B17" s="5" t="s">
        <v>49</v>
      </c>
      <c r="C17" s="7">
        <f>+'Augest 2025'!X19</f>
        <v>6000.0009</v>
      </c>
      <c r="D17" s="105" t="s">
        <v>103</v>
      </c>
    </row>
    <row r="18" ht="18.75" spans="1:8">
      <c r="A18" s="4">
        <f t="shared" si="0"/>
        <v>15</v>
      </c>
      <c r="B18" s="5" t="s">
        <v>50</v>
      </c>
      <c r="C18" s="7">
        <f>+'Augest 2025'!X20</f>
        <v>6000.0009</v>
      </c>
      <c r="D18" s="105" t="s">
        <v>104</v>
      </c>
      <c r="H18" s="9"/>
    </row>
    <row r="19" ht="18.75" spans="1:4">
      <c r="A19" s="4">
        <f t="shared" si="0"/>
        <v>16</v>
      </c>
      <c r="B19" s="5" t="s">
        <v>51</v>
      </c>
      <c r="C19" s="7">
        <f>+'Augest 2025'!X21</f>
        <v>5000.0031</v>
      </c>
      <c r="D19" s="105" t="s">
        <v>105</v>
      </c>
    </row>
    <row r="20" ht="18.75" spans="1:4">
      <c r="A20" s="4">
        <f t="shared" si="0"/>
        <v>17</v>
      </c>
      <c r="B20" s="5" t="s">
        <v>52</v>
      </c>
      <c r="C20" s="7">
        <f>+'Augest 2025'!X22</f>
        <v>5000.0031</v>
      </c>
      <c r="D20" s="105" t="s">
        <v>106</v>
      </c>
    </row>
    <row r="21" ht="18.75" spans="1:4">
      <c r="A21" s="4">
        <f t="shared" si="0"/>
        <v>18</v>
      </c>
      <c r="B21" s="5" t="s">
        <v>53</v>
      </c>
      <c r="C21" s="7">
        <f>+'Augest 2025'!X23</f>
        <v>5000.0031</v>
      </c>
      <c r="D21" s="105" t="s">
        <v>107</v>
      </c>
    </row>
    <row r="22" ht="18.75" spans="1:4">
      <c r="A22" s="4">
        <f t="shared" si="0"/>
        <v>19</v>
      </c>
      <c r="B22" s="5" t="s">
        <v>54</v>
      </c>
      <c r="C22" s="7">
        <f>+'Augest 2025'!X24</f>
        <v>6000.0009</v>
      </c>
      <c r="D22" s="105" t="s">
        <v>108</v>
      </c>
    </row>
    <row r="23" ht="18.75" spans="1:4">
      <c r="A23" s="4">
        <f t="shared" si="0"/>
        <v>20</v>
      </c>
      <c r="B23" s="5" t="s">
        <v>55</v>
      </c>
      <c r="C23" s="7">
        <f>+'Augest 2025'!X25</f>
        <v>6000.0009</v>
      </c>
      <c r="D23" s="105" t="s">
        <v>109</v>
      </c>
    </row>
    <row r="24" ht="18.75" spans="1:4">
      <c r="A24" s="4">
        <f t="shared" si="0"/>
        <v>21</v>
      </c>
      <c r="B24" s="5" t="s">
        <v>56</v>
      </c>
      <c r="C24" s="7">
        <f>+'Augest 2025'!X26</f>
        <v>6000.0009</v>
      </c>
      <c r="D24" s="105" t="s">
        <v>110</v>
      </c>
    </row>
    <row r="25" ht="18.75" spans="1:4">
      <c r="A25" s="4">
        <f t="shared" si="0"/>
        <v>22</v>
      </c>
      <c r="B25" s="5" t="s">
        <v>57</v>
      </c>
      <c r="C25" s="7">
        <f>+'Augest 2025'!X27</f>
        <v>6000.0015</v>
      </c>
      <c r="D25" s="106" t="s">
        <v>111</v>
      </c>
    </row>
    <row r="26" ht="18.75" spans="1:4">
      <c r="A26" s="4">
        <f t="shared" si="0"/>
        <v>23</v>
      </c>
      <c r="B26" s="5" t="s">
        <v>58</v>
      </c>
      <c r="C26" s="7">
        <f>+'Augest 2025'!X28</f>
        <v>6000.0009</v>
      </c>
      <c r="D26" s="105" t="s">
        <v>112</v>
      </c>
    </row>
    <row r="27" ht="18.75" spans="1:4">
      <c r="A27" s="4">
        <f t="shared" si="0"/>
        <v>24</v>
      </c>
      <c r="B27" s="5" t="s">
        <v>59</v>
      </c>
      <c r="C27" s="7">
        <f>+'Augest 2025'!X29</f>
        <v>6999.9984</v>
      </c>
      <c r="D27" s="105" t="s">
        <v>113</v>
      </c>
    </row>
    <row r="28" ht="18.75" spans="1:4">
      <c r="A28" s="4">
        <f t="shared" si="0"/>
        <v>25</v>
      </c>
      <c r="B28" s="5" t="s">
        <v>60</v>
      </c>
      <c r="C28" s="6">
        <f>+'Augest 2025'!X30</f>
        <v>6000.49</v>
      </c>
      <c r="D28" s="105" t="s">
        <v>114</v>
      </c>
    </row>
    <row r="29" ht="18.75" spans="1:4">
      <c r="A29" s="4">
        <f t="shared" si="0"/>
        <v>26</v>
      </c>
      <c r="B29" s="5" t="s">
        <v>62</v>
      </c>
      <c r="C29" s="7">
        <f>+'Augest 2025'!X31</f>
        <v>1391.9973</v>
      </c>
      <c r="D29" s="105" t="s">
        <v>115</v>
      </c>
    </row>
    <row r="30" ht="18.75" spans="1:5">
      <c r="A30" s="4">
        <f t="shared" si="0"/>
        <v>27</v>
      </c>
      <c r="B30" s="5" t="s">
        <v>63</v>
      </c>
      <c r="C30" s="7">
        <f>+'Augest 2025'!X32</f>
        <v>6000.0009</v>
      </c>
      <c r="D30" s="105" t="s">
        <v>116</v>
      </c>
      <c r="E30" s="9"/>
    </row>
    <row r="31" ht="18.75" spans="1:4">
      <c r="A31" s="4">
        <f t="shared" si="0"/>
        <v>28</v>
      </c>
      <c r="B31" s="5" t="s">
        <v>64</v>
      </c>
      <c r="C31" s="7">
        <f>+'Augest 2025'!X33</f>
        <v>6713.0028</v>
      </c>
      <c r="D31" s="105" t="s">
        <v>117</v>
      </c>
    </row>
    <row r="32" ht="18.75" spans="1:4">
      <c r="A32" s="4">
        <f t="shared" si="0"/>
        <v>29</v>
      </c>
      <c r="B32" s="5" t="s">
        <v>65</v>
      </c>
      <c r="C32" s="7">
        <f>+'Augest 2025'!X34</f>
        <v>20000.004</v>
      </c>
      <c r="D32" s="105" t="s">
        <v>118</v>
      </c>
    </row>
    <row r="33" ht="18.75" spans="1:4">
      <c r="A33" s="4">
        <f t="shared" si="0"/>
        <v>30</v>
      </c>
      <c r="B33" s="5" t="s">
        <v>67</v>
      </c>
      <c r="C33" s="7">
        <f>+'Augest 2025'!X35</f>
        <v>10000.0014</v>
      </c>
      <c r="D33" s="105" t="s">
        <v>119</v>
      </c>
    </row>
    <row r="34" ht="18.75" spans="1:4">
      <c r="A34" s="4">
        <f t="shared" ref="A34:A43" si="1">+A33+1</f>
        <v>31</v>
      </c>
      <c r="B34" s="5" t="s">
        <v>68</v>
      </c>
      <c r="C34" s="7">
        <f>+'Augest 2025'!X36</f>
        <v>4500.0042</v>
      </c>
      <c r="D34" s="105" t="s">
        <v>120</v>
      </c>
    </row>
    <row r="35" ht="18.75" spans="1:4">
      <c r="A35" s="4">
        <f t="shared" si="1"/>
        <v>32</v>
      </c>
      <c r="B35" s="5" t="s">
        <v>69</v>
      </c>
      <c r="C35" s="7">
        <f>+'Augest 2025'!X37</f>
        <v>5500.002</v>
      </c>
      <c r="D35" s="105" t="s">
        <v>121</v>
      </c>
    </row>
    <row r="36" ht="18.75" spans="1:4">
      <c r="A36" s="4">
        <f t="shared" si="1"/>
        <v>33</v>
      </c>
      <c r="B36" s="5" t="s">
        <v>70</v>
      </c>
      <c r="C36" s="7">
        <f>+'Augest 2025'!X38</f>
        <v>6000.0009</v>
      </c>
      <c r="D36" s="105" t="s">
        <v>122</v>
      </c>
    </row>
    <row r="37" ht="18.75" spans="1:4">
      <c r="A37" s="4">
        <f t="shared" si="1"/>
        <v>34</v>
      </c>
      <c r="B37" s="5" t="s">
        <v>71</v>
      </c>
      <c r="C37" s="7">
        <f>+'Augest 2025'!X39</f>
        <v>6016.0025</v>
      </c>
      <c r="D37" s="105" t="s">
        <v>123</v>
      </c>
    </row>
    <row r="38" ht="18.75" spans="1:4">
      <c r="A38" s="4">
        <f t="shared" si="1"/>
        <v>35</v>
      </c>
      <c r="B38" s="5" t="s">
        <v>72</v>
      </c>
      <c r="C38" s="7">
        <f>+'Augest 2025'!X40</f>
        <v>6650.0008</v>
      </c>
      <c r="D38" s="105" t="s">
        <v>124</v>
      </c>
    </row>
    <row r="39" ht="18.75" spans="1:9">
      <c r="A39" s="4">
        <f t="shared" si="1"/>
        <v>36</v>
      </c>
      <c r="B39" s="5" t="s">
        <v>73</v>
      </c>
      <c r="C39" s="7">
        <f>+'Augest 2025'!X41</f>
        <v>4000.0008</v>
      </c>
      <c r="D39" s="105" t="s">
        <v>125</v>
      </c>
      <c r="F39" s="11"/>
      <c r="G39" s="1"/>
      <c r="H39" s="1"/>
      <c r="I39" s="1"/>
    </row>
    <row r="40" ht="18.75" spans="1:4">
      <c r="A40" s="4">
        <f t="shared" si="1"/>
        <v>37</v>
      </c>
      <c r="B40" s="5" t="s">
        <v>74</v>
      </c>
      <c r="C40" s="7">
        <f>+'Augest 2025'!X42</f>
        <v>3800.001</v>
      </c>
      <c r="D40" s="107" t="s">
        <v>126</v>
      </c>
    </row>
    <row r="41" ht="18.75" spans="1:4">
      <c r="A41" s="4">
        <f t="shared" si="1"/>
        <v>38</v>
      </c>
      <c r="B41" s="5" t="s">
        <v>75</v>
      </c>
      <c r="C41" s="7">
        <f>+'Augest 2025'!X43</f>
        <v>3800.001</v>
      </c>
      <c r="D41" s="105" t="s">
        <v>127</v>
      </c>
    </row>
    <row r="42" ht="18.75" spans="1:4">
      <c r="A42" s="4">
        <f t="shared" si="1"/>
        <v>39</v>
      </c>
      <c r="B42" s="5" t="s">
        <v>76</v>
      </c>
      <c r="C42" s="7">
        <f>+'Augest 2025'!X44</f>
        <v>7999.998</v>
      </c>
      <c r="D42" s="105" t="s">
        <v>128</v>
      </c>
    </row>
    <row r="43" ht="18.75" spans="1:4">
      <c r="A43" s="3">
        <f t="shared" si="1"/>
        <v>40</v>
      </c>
      <c r="B43" s="13" t="s">
        <v>77</v>
      </c>
      <c r="C43" s="7">
        <f>+'Augest 2025'!X45</f>
        <v>4666.999</v>
      </c>
      <c r="D43" s="108" t="s">
        <v>129</v>
      </c>
    </row>
    <row r="44" ht="18.75" spans="1:4">
      <c r="A44" s="3">
        <v>41</v>
      </c>
      <c r="B44" s="13" t="s">
        <v>130</v>
      </c>
      <c r="C44" s="7">
        <f>+'Augest 2025'!X46</f>
        <v>10000.0014</v>
      </c>
      <c r="D44" s="3"/>
    </row>
    <row r="45" ht="38.25" customHeight="1" spans="1:4">
      <c r="A45" s="14" t="s">
        <v>131</v>
      </c>
      <c r="B45" s="14"/>
      <c r="C45" s="15">
        <f>SUM(C4:C44)</f>
        <v>334459.8821</v>
      </c>
      <c r="D45" s="16"/>
    </row>
    <row r="46" spans="3:3">
      <c r="C46" s="9"/>
    </row>
    <row r="47" spans="3:3">
      <c r="C47" s="9"/>
    </row>
    <row r="49" ht="18.75" hidden="1" customHeight="1" spans="1:4">
      <c r="A49" s="17"/>
      <c r="B49" s="17"/>
      <c r="C49" s="17"/>
      <c r="D49" s="17"/>
    </row>
    <row r="50" ht="18.75" hidden="1" customHeight="1" spans="1:4">
      <c r="A50" s="18"/>
      <c r="B50" s="19"/>
      <c r="C50" s="20"/>
      <c r="D50" s="19"/>
    </row>
    <row r="51" ht="19.5" hidden="1" customHeight="1" spans="1:4">
      <c r="A51" s="21"/>
      <c r="B51" s="22"/>
      <c r="C51" s="23"/>
      <c r="D51" s="24"/>
    </row>
    <row r="52" ht="19.5" hidden="1" customHeight="1" spans="1:4">
      <c r="A52" s="21"/>
      <c r="B52" s="22"/>
      <c r="C52" s="23"/>
      <c r="D52" s="24"/>
    </row>
    <row r="53" ht="19.5" hidden="1" customHeight="1" spans="1:4">
      <c r="A53" s="21"/>
      <c r="B53" s="22"/>
      <c r="C53" s="23"/>
      <c r="D53" s="24"/>
    </row>
    <row r="54" ht="19.5" hidden="1" customHeight="1" spans="1:4">
      <c r="A54" s="21"/>
      <c r="B54" s="22"/>
      <c r="C54" s="23"/>
      <c r="D54" s="24"/>
    </row>
    <row r="55" ht="19.5" hidden="1" customHeight="1" spans="1:4">
      <c r="A55" s="21"/>
      <c r="B55" s="22"/>
      <c r="C55" s="23"/>
      <c r="D55" s="24"/>
    </row>
    <row r="56" ht="19.5" hidden="1" customHeight="1" spans="1:4">
      <c r="A56" s="21"/>
      <c r="B56" s="22"/>
      <c r="C56" s="23"/>
      <c r="D56" s="24"/>
    </row>
    <row r="57" ht="21" hidden="1" customHeight="1" spans="1:4">
      <c r="A57" s="25"/>
      <c r="B57" s="26"/>
      <c r="C57" s="27"/>
      <c r="D57" s="28"/>
    </row>
    <row r="58" hidden="1"/>
    <row r="59" hidden="1"/>
    <row r="60" spans="3:3">
      <c r="C60" s="29"/>
    </row>
    <row r="61" spans="3:3">
      <c r="C61" s="9"/>
    </row>
  </sheetData>
  <mergeCells count="6">
    <mergeCell ref="A1:D1"/>
    <mergeCell ref="A2:D2"/>
    <mergeCell ref="F39:I39"/>
    <mergeCell ref="A45:B45"/>
    <mergeCell ref="A49:D49"/>
    <mergeCell ref="A57:B57"/>
  </mergeCells>
  <pageMargins left="0.7" right="0.7" top="0.75" bottom="0.75" header="0.3" footer="0.3"/>
  <pageSetup paperSize="1" scale="80" orientation="portrait" horizontalDpi="360" verticalDpi="360"/>
  <headerFooter/>
  <colBreaks count="1" manualBreakCount="1">
    <brk id="5" max="4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Augest 2025</vt:lpstr>
      <vt:lpstr>at bank AUGEST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JOCOM</dc:creator>
  <cp:lastModifiedBy>freweyn</cp:lastModifiedBy>
  <dcterms:created xsi:type="dcterms:W3CDTF">2025-08-07T16:06:00Z</dcterms:created>
  <cp:lastPrinted>2025-09-17T21:52:00Z</cp:lastPrinted>
  <dcterms:modified xsi:type="dcterms:W3CDTF">2025-11-26T09:22:38Z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C6D0FD7E007C4B1DB528939509B46174_12</vt:lpwstr>
  </property>
  <property fmtid="{D5CDD505-2E9C-101B-9397-08002B2CF9AE}" pid="3" name="KSOProductBuildVer">
    <vt:lpwstr>1033-12.2.0.23155</vt:lpwstr>
  </property>
</Properties>
</file>